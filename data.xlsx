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ES ZONA 25HA" sheetId="1" r:id="rId4"/>
    <sheet state="visible" name="TOTAL BY TYPE" sheetId="2" r:id="rId5"/>
    <sheet state="visible" name="SITEPLAN STATUS &amp; PHOTO" sheetId="3" r:id="rId6"/>
    <sheet state="visible" name="CHANGELOG" sheetId="4" r:id="rId7"/>
  </sheets>
  <definedNames>
    <definedName hidden="1" localSheetId="0" name="_xlnm._FilterDatabase">'PROGRES ZONA 25HA'!$B$5:$Q$47</definedName>
    <definedName hidden="1" localSheetId="0" name="Z_D0954DC0_4A94_40B5_BBCD_1FA0DCF699D0_.wvu.FilterData">'PROGRES ZONA 25HA'!$B$5:$Q$47</definedName>
    <definedName hidden="1" localSheetId="0" name="Z_936199BC_2544_48C2_A6D2_7DB69FC82CA1_.wvu.FilterData">'PROGRES ZONA 25HA'!$B$5:$Q$47</definedName>
    <definedName hidden="1" localSheetId="0" name="Z_E53AA6DC_C4E3_421E_BE12_4996A1DF4CB3_.wvu.FilterData">'PROGRES ZONA 25HA'!$B$5:$Q$47</definedName>
    <definedName hidden="1" localSheetId="0" name="Z_0EAD7D08_F07E_4B97_836E_65CB07B13D3E_.wvu.FilterData">'PROGRES ZONA 25HA'!$B$5:$Q$47</definedName>
  </definedNames>
  <calcPr/>
  <customWorkbookViews>
    <customWorkbookView activeSheetId="0" maximized="1" windowHeight="0" windowWidth="0" guid="{D0954DC0-4A94-40B5-BBCD-1FA0DCF699D0}" name="Zona SPK dan Rencana SPK"/>
    <customWorkbookView activeSheetId="0" maximized="1" windowHeight="0" windowWidth="0" guid="{936199BC-2544-48C2-A6D2-7DB69FC82CA1}" name="DEFAULT"/>
    <customWorkbookView activeSheetId="0" maximized="1" windowHeight="0" windowWidth="0" guid="{E53AA6DC-C4E3-421E-BE12-4996A1DF4CB3}" name="Group by ZONA"/>
    <customWorkbookView activeSheetId="0" maximized="1" windowHeight="0" windowWidth="0" guid="{0EAD7D08-F07E-4B97-836E-65CB07B13D3E}" name="Group by TYPE"/>
  </customWorkbookViews>
  <extLst>
    <ext uri="GoogleSheetsCustomDataVersion2">
      <go:sheetsCustomData xmlns:go="http://customooxmlschemas.google.com/" r:id="rId8" roundtripDataChecksum="NcgnwXumTXBjhtdx5h1QdBETROKcDbRRVBLhtqg79I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6">
      <text>
        <t xml:space="preserve">======
ID#AAACHLuxU0w
Tri Aji Prabandaru    (2026-09-15 15:46:18)
ditambah AD-01
------
ID#AAACAuvM5EE
Tri Aji Prabandaru    (2026-09-26 08:23:39)
dipindah ke AF-01</t>
      </text>
    </comment>
    <comment authorId="0" ref="E45">
      <text>
        <t xml:space="preserve">======
ID#AAACAuvM5EQ
Tri Aji Prabandaru    (2026-09-26 08:26:42)
tambah lot di A1-15, A-19</t>
      </text>
    </comment>
    <comment authorId="0" ref="E41">
      <text>
        <t xml:space="preserve">======
ID#AAACAuvM5EI
Tri Aji Prabandaru    (2026-09-26 08:24:43)
koreksi jumlah lot menjadi 155
------
ID#AAACAuvM5EM
Tri Aji Prabandaru    (2026-09-26 08:25:49)
ada tambah dan kurang lot single
------
ID#AAACAuvM5EU
Tri Aji Prabandaru    (2026-09-26 08:27:19)
lot U-28 dan AA-54 dihilangkan, posisi menabrak struktur pagar</t>
      </text>
    </comment>
  </commentList>
  <extLst>
    <ext uri="GoogleSheetsCustomDataVersion2">
      <go:sheetsCustomData xmlns:go="http://customooxmlschemas.google.com/" r:id="rId1" roundtripDataSignature="AMtx7mh3qQa1bK2LYa55OGFNpxqcZBnbig=="/>
    </ext>
  </extLst>
</comments>
</file>

<file path=xl/sharedStrings.xml><?xml version="1.0" encoding="utf-8"?>
<sst xmlns="http://schemas.openxmlformats.org/spreadsheetml/2006/main" count="435" uniqueCount="198">
  <si>
    <t>CHANGELOG</t>
  </si>
  <si>
    <t>2026.09.25</t>
  </si>
  <si>
    <t>Zahratun, tambahan lot AD-01 dipindah ke AF-01</t>
  </si>
  <si>
    <t>Zanbaqah, tambah lot di A1-15, A-19</t>
  </si>
  <si>
    <t>Khuzaamaa, lot U-28 dan AA-54 dihilangkan, posisi menabrak struktur pagar</t>
  </si>
  <si>
    <t>UPDATE JUMLAH LOT DI KHUZAAMAA DAN ZANBAQAH TERKAIT LOT BARU DAN LOT HILANG</t>
  </si>
  <si>
    <t>UPDATE BOBOT PROGRES,  SITEPLAN STATUS KAVLING &amp; LAPORAN FOTO</t>
  </si>
  <si>
    <t>2026.09.15</t>
  </si>
  <si>
    <t>ZAHRATUN DITAMBAH AD-01 (DOUBLE VAR. D)</t>
  </si>
  <si>
    <t>UPDATE JUMLAH FUNERAL READY</t>
  </si>
  <si>
    <t>UPDATE SITEPLAN STATUS KAVLING</t>
  </si>
  <si>
    <t>NEW SHEET KHUSUS LAPORAN FOTO DAN STATUS KAVLING</t>
  </si>
  <si>
    <t>UPDATE ACC MAKAM ZONA YAASMIIN I2 - L</t>
  </si>
  <si>
    <t>UPDATE FOTO LAPANGAN</t>
  </si>
  <si>
    <t>2026.09.14</t>
  </si>
  <si>
    <t>UPDATE JUMLAH LOT TERJUAL</t>
  </si>
  <si>
    <t>2026.09.08</t>
  </si>
  <si>
    <t xml:space="preserve">UPDATE BOBOT PROGRES </t>
  </si>
  <si>
    <t>PENAMBAHAN GAMBAR ACC MAKAM</t>
  </si>
  <si>
    <t>PERUBAHAN JUMLAH LOT YAASMIIN J1 (PERUBAHAN LOT 112 JADI 111 TERJADI KESALAHAN HITUNG DI APPROVAL)</t>
  </si>
  <si>
    <t>PERUBAHAN JUMLAH LOT YAASMIIN I2 (PERUBAHAN LOT 201 JADI 233, SESUAI LAPANGAN)</t>
  </si>
  <si>
    <t>PERUBAHAN JUMLAH LOT YAASMIIN L (PERUBAHAN LOT 144 JADI 165, SESUAI LAPANGAN)</t>
  </si>
  <si>
    <t>UPDATE JUMLAH LOT FUNERAL READY</t>
  </si>
  <si>
    <t>PENAMBAHAN LINK UNTUK LAPORAN FOTO</t>
  </si>
  <si>
    <t>PENAMBAHAN LINK UNTUK LAPORAN SITEPLAN STATUS KAVLING</t>
  </si>
  <si>
    <t>PERUBAHAN TOTAL PADA REKAP TYPE</t>
  </si>
  <si>
    <t xml:space="preserve"> </t>
  </si>
  <si>
    <t>#</t>
  </si>
  <si>
    <t>PROGRES ZONA</t>
  </si>
  <si>
    <t>25-Sep-2026</t>
  </si>
  <si>
    <r>
      <rPr>
        <rFont val="Calibri"/>
        <sz val="10.0"/>
      </rPr>
      <t xml:space="preserve">LINK: </t>
    </r>
    <r>
      <rPr>
        <rFont val="Calibri"/>
        <color rgb="FF1155CC"/>
        <sz val="10.0"/>
        <u/>
      </rPr>
      <t>https://docs.google.com/spreadsheets/d/1fVIivp_aa5lqLBRYZAHfla7-mcbt4zt0/edit?rtpof=true&amp;sd=true&amp;gid=2019601812#gid=2019601812</t>
    </r>
  </si>
  <si>
    <t>TYPE</t>
  </si>
  <si>
    <t>LAPORAN FOTO DAN SITEPLAN</t>
  </si>
  <si>
    <t>Laporan ini bersifat aktual di lapangan sesuai kondisi kavling yang terbangun. Gunakan siteplan dari tiap zona (halaman 3) sebagai acuan untuk mengupdate statsu kavling di web.</t>
  </si>
  <si>
    <t>LAPORAN 8 SEPTEMBER 2026</t>
  </si>
  <si>
    <t>25 SEPTEMBER 2026</t>
  </si>
  <si>
    <t>TYPE GROUP</t>
  </si>
  <si>
    <t>15 SEPTEMBER 2026</t>
  </si>
  <si>
    <t>NO</t>
  </si>
  <si>
    <t>STOK (RENCANA)</t>
  </si>
  <si>
    <t>STOK (SPK)</t>
  </si>
  <si>
    <t>TERJUAL</t>
  </si>
  <si>
    <t>ZONA</t>
  </si>
  <si>
    <t>SISA STOK</t>
  </si>
  <si>
    <t>FUNERAL READY</t>
  </si>
  <si>
    <t>FOTO 25 SEPT 2026</t>
  </si>
  <si>
    <t>SITEPLAN</t>
  </si>
  <si>
    <t>%</t>
  </si>
  <si>
    <t>STOK</t>
  </si>
  <si>
    <t>STATUS 25 SEPT 2026</t>
  </si>
  <si>
    <t>PENJUALAN</t>
  </si>
  <si>
    <t>D</t>
  </si>
  <si>
    <t>PROGRES PROJECT</t>
  </si>
  <si>
    <t>FOTO 15 SEPT 2026</t>
  </si>
  <si>
    <t>DOUBLE</t>
  </si>
  <si>
    <t>STATUS 15 SEPT 2026</t>
  </si>
  <si>
    <t>FOTO 8 SEPT 2026</t>
  </si>
  <si>
    <t>STATUS 8 SEPT 2026</t>
  </si>
  <si>
    <t>ACC MAKAM</t>
  </si>
  <si>
    <t>RENCANA</t>
  </si>
  <si>
    <t>SPK</t>
  </si>
  <si>
    <t xml:space="preserve">WARDAH GG </t>
  </si>
  <si>
    <t>% FUNERAL READY</t>
  </si>
  <si>
    <t>https://photos.app.goo.gl/BKN85zVbDVfQyyhSA</t>
  </si>
  <si>
    <t>STATUS PROYEK</t>
  </si>
  <si>
    <t>KONTRAKTOR</t>
  </si>
  <si>
    <t>TANGGAL MULAI SPK</t>
  </si>
  <si>
    <t>https://drive.google.com/open?id=18lDnsbO12GnWcWm2jqgb2RVyjaW1z6Mi&amp;usp=drive_fs</t>
  </si>
  <si>
    <t>TANGGAL SELESAI SPK</t>
  </si>
  <si>
    <t>AKTUAL PROGRESS</t>
  </si>
  <si>
    <t>DEVIASI</t>
  </si>
  <si>
    <t>KETERANGAN</t>
  </si>
  <si>
    <t>QORONFUL</t>
  </si>
  <si>
    <t>DD</t>
  </si>
  <si>
    <t>https://drive.google.com/open?id=1181o-Rw9nh0JIVYKdlRSvozUdDP1E1eU&amp;usp=drive_fs</t>
  </si>
  <si>
    <t>https://photos.app.goo.gl/D2HbtQB6qKCCyKgx8</t>
  </si>
  <si>
    <t>https://drive.google.com/open?id=1yA8g0rvkH6heon0NgfaDD63QKFOoos4G&amp;usp=drive_fs</t>
  </si>
  <si>
    <t>DB</t>
  </si>
  <si>
    <t>2. PERSIAPAN TENDER</t>
  </si>
  <si>
    <t>https://photos.app.goo.gl/uJfHntrtFwtoDkx26</t>
  </si>
  <si>
    <t>2026.09.08 - PROGRES KAVLING.pdf</t>
  </si>
  <si>
    <t>S</t>
  </si>
  <si>
    <t>SAHLIYAH C1</t>
  </si>
  <si>
    <t>https://photos.app.goo.gl/go93FTe4LYesnaVy5</t>
  </si>
  <si>
    <t>https://drive.google.com/open?id=100aDT_yU6V2u_XI0sQNr5s_NvgACzXkO&amp;usp=drive_fs</t>
  </si>
  <si>
    <t>https://photos.app.goo.gl/yT2wb4RAvsSbnQgV8</t>
  </si>
  <si>
    <t>YAASMIIN M</t>
  </si>
  <si>
    <t>SFA</t>
  </si>
  <si>
    <t>https://drive.google.com/open?id=1O-XZ7sO9DEoehDkmiq4QTVwCqb_9bDhT&amp;usp=drive_fs</t>
  </si>
  <si>
    <t>https://drive.google.com/open?id=1drlB8VKxAfB9xe9_hG6_cbIoTMKmE_0n&amp;usp=drive_fs</t>
  </si>
  <si>
    <t>YASMIIN I2 - L</t>
  </si>
  <si>
    <t>https://photos.app.goo.gl/4MJhqHTx2msUEd6f7</t>
  </si>
  <si>
    <t>YAASMIIN I1</t>
  </si>
  <si>
    <t>https://photos.app.goo.gl/rqYoVZogQpRwQMqT6</t>
  </si>
  <si>
    <t>https://drive.google.com/open?id=1sIAmm79SijeaFShrqp5iJU8tanekshIr&amp;usp=drive_fs</t>
  </si>
  <si>
    <t>DV</t>
  </si>
  <si>
    <t>https://drive.google.com/open?id=17QpX_Tm7VyQLAiWfA5O-EB3ZiUyY3BaJ&amp;usp=drive_fs</t>
  </si>
  <si>
    <t>IDILWIIS</t>
  </si>
  <si>
    <t xml:space="preserve">KHUZAAMAA </t>
  </si>
  <si>
    <t>https://photos.app.goo.gl/gTMNsHNu5fCDMEMG9</t>
  </si>
  <si>
    <t>https://drive.google.com/open?id=1UijxdEQ7hNZ6Sop52V-0zp1K1-VBR6gU&amp;usp=drive_fs</t>
  </si>
  <si>
    <t>YASMIIN I2</t>
  </si>
  <si>
    <t>https://photos.app.goo.gl/zWY93cQuicJsN8rx5</t>
  </si>
  <si>
    <t>https://drive.google.com/open?id=1YOQUzVM_ekieLY_uY9cjlEz3EYV_fd6c&amp;usp=drive_fs</t>
  </si>
  <si>
    <t>https://photos.app.goo.gl/pnWu8ih4qDukTCAC7</t>
  </si>
  <si>
    <t>https://drive.google.com/open?id=1rF9pu2gy9IVGRmkLiEiIz7EcfO1qaBRV&amp;usp=drive_fs</t>
  </si>
  <si>
    <t>ZANBAQAH</t>
  </si>
  <si>
    <t>https://photos.app.goo.gl/LqZ3fZddavih2cCa9</t>
  </si>
  <si>
    <t>ZANBAQAH EXT</t>
  </si>
  <si>
    <t>FA</t>
  </si>
  <si>
    <t>https://drive.google.com/open?id=1Eu6sFhI-xc2UvnfOmAiriutJ4fbe0Bce&amp;usp=drive_fs</t>
  </si>
  <si>
    <t>YASMIIN  L</t>
  </si>
  <si>
    <t>https://photos.app.goo.gl/19MeGcvE7b85Py1j8</t>
  </si>
  <si>
    <t>https://drive.google.com/open?id=142WHc_j8V2llBX3ZCjBOhWkghwt909aB&amp;usp=drive_fs</t>
  </si>
  <si>
    <t>https://drive.google.com/open?id=1N9ckQt5MtDyvvp4A_GUwxu1LOoi5lGbf&amp;usp=drive_fs</t>
  </si>
  <si>
    <t>SAAKUURAA 1&amp;2</t>
  </si>
  <si>
    <t>https://photos.app.goo.gl/eNKsHcsUH9P6ZvUE9</t>
  </si>
  <si>
    <t>SAWSAN</t>
  </si>
  <si>
    <t>YAASMIIN J1</t>
  </si>
  <si>
    <t>https://drive.google.com/open?id=1FKylqnRRT0qEiv6eHwf6zGzwLSCYsSM0&amp;usp=drive_fs</t>
  </si>
  <si>
    <t>https://photos.app.goo.gl/sQxyNTVoAXfBMGrG7</t>
  </si>
  <si>
    <t>FAMILY</t>
  </si>
  <si>
    <t>https://drive.google.com/open?id=1pt9s102nL_XiSGdOstu96aP9I8F1m3hy&amp;usp=drive_fs</t>
  </si>
  <si>
    <t>KAMIILIYA</t>
  </si>
  <si>
    <t>RFG</t>
  </si>
  <si>
    <t>https://drive.google.com/open?id=1Um5O_zKe7koYY_tN1WNviT1SnMjW22b8&amp;usp=drive_fs</t>
  </si>
  <si>
    <t>https://photos.app.goo.gl/fiHNL8jVuxmS2bTR9</t>
  </si>
  <si>
    <t>5. SEDANG PENGERJAAN</t>
  </si>
  <si>
    <t>PLIS</t>
  </si>
  <si>
    <t>https://drive.google.com/open?id=1U60M2W0juSymHnhqNJ4T4OtXqBBQGfyS&amp;usp=drive_fs</t>
  </si>
  <si>
    <t xml:space="preserve">SAAKUURAA 3 </t>
  </si>
  <si>
    <t>https://photos.app.goo.gl/gx7Ui1wNUPW1jK347</t>
  </si>
  <si>
    <t>RFH</t>
  </si>
  <si>
    <t>KAMIILIYAA</t>
  </si>
  <si>
    <t>FB</t>
  </si>
  <si>
    <t>https://photos.app.goo.gl/th7sWUzDUXhF44939</t>
  </si>
  <si>
    <t>RFI</t>
  </si>
  <si>
    <t>https://drive.google.com/open?id=1vFbKBd4CnczeKQgSSRVdVIJP6cFiWXF_&amp;usp=drive_fs</t>
  </si>
  <si>
    <t>https://photos.app.goo.gl/taoAvkwnmdT4wYzJ7</t>
  </si>
  <si>
    <t>SFG</t>
  </si>
  <si>
    <t>https://drive.google.com/open?id=1t-TreIXPAucQ72-3OwMRndhmJhKkSjXU&amp;usp=drive_fs</t>
  </si>
  <si>
    <t>ZAHRATUN</t>
  </si>
  <si>
    <t>https://photos.app.goo.gl/TLapwgCzfrP4HCB17</t>
  </si>
  <si>
    <t>ROYAL FAMILY</t>
  </si>
  <si>
    <t>https://drive.google.com/open?id=1dWl3r7NoG1-MJjLTQR7uLV4Ap3995dZc&amp;usp=drive_fs</t>
  </si>
  <si>
    <t>https://photos.app.goo.gl/ZS2148X6updSia8U9</t>
  </si>
  <si>
    <t>https://drive.google.com/open?id=1Z9MbEikgQijrY8ljlN_Mez1APARnVa1j&amp;usp=drive_fs</t>
  </si>
  <si>
    <t>https://photos.app.goo.gl/cqH5ZtdSdicuQrnY7</t>
  </si>
  <si>
    <t xml:space="preserve">YAASMIN I1 </t>
  </si>
  <si>
    <t>https://drive.google.com/open?id=1LP07vRAFiIMa4hlR28kTjzew9avvXq90&amp;usp=drive_fs</t>
  </si>
  <si>
    <t>MJU</t>
  </si>
  <si>
    <t>https://drive.google.com/open?id=1gMJlWlQozWWmyqRLSSFLoQCgo7Lz7vBq&amp;usp=drive_fs</t>
  </si>
  <si>
    <t xml:space="preserve">SAHLIYAH C1 </t>
  </si>
  <si>
    <t>https://drive.google.com/open?id=11f-H0b0S2s0gn0Wr_Sz4Z6ZlXSjpK_6L&amp;usp=drive_fs</t>
  </si>
  <si>
    <t>https://photos.app.goo.gl/EmKm9GxYqNRBNuva6</t>
  </si>
  <si>
    <t>https://drive.google.com/open?id=1SsALw0uuCxemq3RAIIxPpFW6ZjYTjUyf&amp;usp=drive_fs</t>
  </si>
  <si>
    <t>WARDAH FF3</t>
  </si>
  <si>
    <t>https://drive.google.com/open?id=1K6liyT-QfR8PxlYm8TaPofrLBq4s8X3j&amp;usp=drive_fs</t>
  </si>
  <si>
    <t>https://photos.app.goo.gl/9AdaRobhnt9j2WDY8</t>
  </si>
  <si>
    <t>https://drive.google.com/open?id=12tSk36um8gqyBsWS8bRZac-esdvYY9Va&amp;usp=drive_fs</t>
  </si>
  <si>
    <t>SINGLE</t>
  </si>
  <si>
    <t>https://photos.app.goo.gl/irAoQp3hdEHbcEZs6</t>
  </si>
  <si>
    <t>https://drive.google.com/open?id=1S1-tm2PI_S70i1KpNfEXvd9GnRMlnPpX&amp;usp=drive_fs</t>
  </si>
  <si>
    <t>https://photos.app.goo.gl/2YFTUULYXwyFVeyw7</t>
  </si>
  <si>
    <t>BEN</t>
  </si>
  <si>
    <t>https://drive.google.com/open?id=1iSLYaDRWJKRYnL2FT_QY0v4B516s8Bbn&amp;usp=drive_fs</t>
  </si>
  <si>
    <t>https://photos.app.goo.gl/aebEFFDAbLXYk982A</t>
  </si>
  <si>
    <t>https://drive.google.com/open?id=115SE3gEZqMaLXwP_Xt_Qp0_Pd4wok2rr&amp;usp=drive_fs</t>
  </si>
  <si>
    <t>https://drive.google.com/open?id=1ZXmr_gedn9eqCelNsu-gcD8GWumnmS4w&amp;usp=drive_fs</t>
  </si>
  <si>
    <t>SD</t>
  </si>
  <si>
    <t>SUPER DOUBLE</t>
  </si>
  <si>
    <t>https://photos.app.goo.gl/ojjSMF1QeE4MjDwy6</t>
  </si>
  <si>
    <t>https://drive.google.com/open?id=1NEmb_7NI4ZdCLl3TNaP63hSG96NjNQAU&amp;usp=drive_fs</t>
  </si>
  <si>
    <t>https://photos.app.goo.gl/za4hujK2M2C6deKp6</t>
  </si>
  <si>
    <t>https://drive.google.com/open?id=1nXv2Xc_hSve2V15kPN7wQE9JxUpgyvEX&amp;usp=drive_fs</t>
  </si>
  <si>
    <t/>
  </si>
  <si>
    <t>SUPER FAMILY</t>
  </si>
  <si>
    <t>SFD</t>
  </si>
  <si>
    <t>SAAKUURAA 3</t>
  </si>
  <si>
    <t>https://drive.google.com/open?id=11mMN55Fr7RYpiRbojLQm7gViHkFNRNpn&amp;usp=drive_fs</t>
  </si>
  <si>
    <t>SAEPUL</t>
  </si>
  <si>
    <t>YAASMIN I2</t>
  </si>
  <si>
    <t>https://drive.google.com/open?id=16WPidPR68Yx1T6HaDMEVagvqER0gypqr&amp;usp=drive_fs</t>
  </si>
  <si>
    <t xml:space="preserve">YAASMIN J1 </t>
  </si>
  <si>
    <t>https://drive.google.com/open?id=1KT88A8AqF0JRBZLmSpuzy1pim0uObXB9&amp;usp=drive_fs</t>
  </si>
  <si>
    <t>TARGET STOK</t>
  </si>
  <si>
    <t>NARA</t>
  </si>
  <si>
    <t xml:space="preserve">SELISIH STOK </t>
  </si>
  <si>
    <t xml:space="preserve">YAASMIN L </t>
  </si>
  <si>
    <t>EDI</t>
  </si>
  <si>
    <t>KHUZAAMAA</t>
  </si>
  <si>
    <t>https://drive.google.com/open?id=1aSHzR-v0sV_qJFU_NA4wMa3FH17MmIVH&amp;usp=drive_fs</t>
  </si>
  <si>
    <t>SAAKUURAA 1 &amp; 2</t>
  </si>
  <si>
    <t>https://drive.google.com/open?id=17cpv3r2cwVY08sP7e30AMGGDsZKvd9_Q&amp;usp=drive_fs</t>
  </si>
  <si>
    <t>https://drive.google.com/open?id=1xlMzJDkUkJ41C_PWHndx6g43Q-YxehWj&amp;usp=drive_fs</t>
  </si>
  <si>
    <t>UQHUWAAN</t>
  </si>
  <si>
    <t>https://drive.google.com/open?id=1S66yNUxFwxDTvmTMvFu-Illwt1nfhob-&amp;usp=drive_fs</t>
  </si>
  <si>
    <t>6. SELESAI PROYEK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</si>
</sst>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d-mmm-yyyy"/>
    <numFmt numFmtId="166" formatCode="d-mmm-yy"/>
  </numFmts>
  <fonts count="38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CCCCCC"/>
      <name val="Calibri"/>
      <scheme val="minor"/>
    </font>
    <font>
      <sz val="10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4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u/>
      <sz val="10.0"/>
      <color rgb="FF0000FF"/>
      <name val="Calibri"/>
    </font>
    <font>
      <sz val="16.0"/>
      <color theme="1"/>
      <name val="Calibri"/>
      <scheme val="minor"/>
    </font>
    <font>
      <b/>
      <sz val="10.0"/>
      <color theme="1"/>
      <name val="Calibri"/>
    </font>
    <font/>
    <font>
      <b/>
      <sz val="14.0"/>
      <color rgb="FFFFFFFF"/>
      <name val="Calibri"/>
    </font>
    <font>
      <b/>
      <sz val="14.0"/>
      <color theme="0"/>
      <name val="Calibri"/>
    </font>
    <font>
      <sz val="10.0"/>
      <color rgb="FF000000"/>
      <name val="Calibri"/>
    </font>
    <font>
      <b/>
      <u/>
      <sz val="10.0"/>
      <color rgb="FF0000FF"/>
      <name val="Calibri"/>
    </font>
    <font>
      <u/>
      <sz val="10.0"/>
      <color rgb="FF0000FF"/>
      <name val="Calibri"/>
    </font>
    <font>
      <sz val="10.0"/>
      <color rgb="FF0000FF"/>
      <name val="Calibri"/>
    </font>
    <font>
      <b/>
      <u/>
      <sz val="10.0"/>
      <color rgb="FF0000FF"/>
      <name val="Calibri"/>
    </font>
    <font>
      <sz val="10.0"/>
      <color rgb="FF666666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u/>
      <sz val="10.0"/>
      <color rgb="FF0000FF"/>
      <name val="Calibri"/>
    </font>
    <font>
      <b/>
      <u/>
      <sz val="10.0"/>
      <color rgb="FF0000FF"/>
      <name val="Calibri"/>
    </font>
    <font>
      <b/>
      <sz val="10.0"/>
      <color rgb="FF0000FF"/>
      <name val="Calibri"/>
    </font>
    <font>
      <b/>
      <u/>
      <sz val="10.0"/>
      <color rgb="FF0000FF"/>
      <name val="Calibri"/>
    </font>
    <font>
      <sz val="11.0"/>
      <color theme="1"/>
      <name val="Calibri"/>
    </font>
    <font>
      <b/>
      <color theme="1"/>
      <name val="Calibri"/>
    </font>
    <font>
      <b/>
      <u/>
      <color rgb="FF0000FF"/>
      <name val="Calibri"/>
    </font>
    <font>
      <sz val="11.0"/>
      <color rgb="FF0000FF"/>
      <name val="Calibri"/>
    </font>
    <font>
      <b/>
      <u/>
      <sz val="10.0"/>
      <color rgb="FF0000FF"/>
      <name val="Calibri"/>
    </font>
    <font>
      <u/>
      <sz val="11.0"/>
      <color rgb="FF0000FF"/>
      <name val="Calibri"/>
    </font>
    <font>
      <u/>
      <sz val="10.0"/>
      <color rgb="FF0000FF"/>
      <name val="Calibri"/>
    </font>
    <font>
      <sz val="12.0"/>
      <color theme="1"/>
      <name val="Calibri"/>
    </font>
    <font>
      <sz val="10.0"/>
      <color rgb="FF434343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AAAA"/>
        <bgColor rgb="FFFFAAAA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readingOrder="0" vertical="top"/>
    </xf>
    <xf borderId="0" fillId="0" fontId="3" numFmtId="0" xfId="0" applyFont="1"/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top" wrapText="0"/>
    </xf>
    <xf borderId="0" fillId="0" fontId="7" numFmtId="0" xfId="0" applyFont="1"/>
    <xf borderId="0" fillId="0" fontId="4" numFmtId="0" xfId="0" applyAlignment="1" applyFont="1">
      <alignment horizontal="left" readingOrder="0" shrinkToFit="0" wrapText="0"/>
    </xf>
    <xf borderId="0" fillId="0" fontId="7" numFmtId="0" xfId="0" applyAlignment="1" applyFont="1">
      <alignment horizontal="center" shrinkToFit="0" wrapText="1"/>
    </xf>
    <xf borderId="0" fillId="0" fontId="8" numFmtId="0" xfId="0" applyFont="1"/>
    <xf borderId="0" fillId="0" fontId="4" numFmtId="0" xfId="0" applyFont="1"/>
    <xf borderId="0" fillId="0" fontId="4" numFmtId="0" xfId="0" applyAlignment="1" applyFont="1">
      <alignment horizontal="center" shrinkToFit="0" wrapText="1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2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horizontal="left" readingOrder="0" shrinkToFit="0" vertical="center" wrapText="0"/>
    </xf>
    <xf quotePrefix="1" borderId="0" fillId="0" fontId="9" numFmtId="0" xfId="0" applyAlignment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13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center" readingOrder="0" shrinkToFit="0" vertical="center" wrapText="0"/>
    </xf>
    <xf borderId="2" fillId="2" fontId="4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0"/>
    </xf>
    <xf borderId="3" fillId="0" fontId="14" numFmtId="0" xfId="0" applyBorder="1" applyFont="1"/>
    <xf borderId="2" fillId="2" fontId="15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2" fillId="2" fontId="16" numFmtId="0" xfId="0" applyAlignment="1" applyBorder="1" applyFill="1" applyFont="1">
      <alignment horizontal="center" readingOrder="0" shrinkToFit="0" vertical="center" wrapText="1"/>
    </xf>
    <xf borderId="1" fillId="0" fontId="17" numFmtId="0" xfId="0" applyAlignment="1" applyBorder="1" applyFont="1">
      <alignment readingOrder="0" shrinkToFit="0" vertical="center" wrapText="0"/>
    </xf>
    <xf borderId="2" fillId="2" fontId="15" numFmtId="49" xfId="0" applyAlignment="1" applyBorder="1" applyFill="1" applyFont="1" applyNumberFormat="1">
      <alignment horizontal="center" readingOrder="0" shrinkToFit="0" vertical="center" wrapText="1"/>
    </xf>
    <xf borderId="4" fillId="0" fontId="14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shrinkToFit="0" vertical="center" wrapText="0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18" numFmtId="49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19" numFmtId="0" xfId="0" applyAlignment="1" applyBorder="1" applyFont="1">
      <alignment readingOrder="0" shrinkToFit="0" vertical="center" wrapText="0"/>
    </xf>
    <xf borderId="1" fillId="0" fontId="20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shrinkToFit="0" vertical="center" wrapText="0"/>
    </xf>
    <xf borderId="1" fillId="0" fontId="20" numFmtId="0" xfId="0" applyAlignment="1" applyBorder="1" applyFont="1">
      <alignment readingOrder="0" shrinkToFit="0" vertical="center" wrapText="0"/>
    </xf>
    <xf borderId="1" fillId="0" fontId="17" numFmtId="10" xfId="0" applyAlignment="1" applyBorder="1" applyFont="1" applyNumberFormat="1">
      <alignment readingOrder="0" shrinkToFit="0" vertical="center" wrapText="0"/>
    </xf>
    <xf borderId="1" fillId="0" fontId="22" numFmtId="0" xfId="0" applyAlignment="1" applyBorder="1" applyFont="1">
      <alignment readingOrder="0" shrinkToFit="0" vertical="center" wrapText="0"/>
    </xf>
    <xf borderId="1" fillId="0" fontId="23" numFmtId="0" xfId="0" applyAlignment="1" applyBorder="1" applyFont="1">
      <alignment readingOrder="0" shrinkToFit="0" vertical="center" wrapText="1"/>
    </xf>
    <xf borderId="1" fillId="0" fontId="4" numFmtId="10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164" xfId="0" applyAlignment="1" applyBorder="1" applyFont="1" applyNumberFormat="1">
      <alignment readingOrder="0" shrinkToFit="0" vertical="center" wrapText="0"/>
    </xf>
    <xf borderId="5" fillId="0" fontId="2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5" numFmtId="0" xfId="0" applyAlignment="1" applyBorder="1" applyFont="1">
      <alignment readingOrder="0" shrinkToFit="0" vertical="center" wrapText="0"/>
    </xf>
    <xf borderId="1" fillId="0" fontId="26" numFmtId="0" xfId="0" applyAlignment="1" applyBorder="1" applyFont="1">
      <alignment horizontal="center" readingOrder="0" shrinkToFit="0" vertical="center" wrapText="1"/>
    </xf>
    <xf borderId="6" fillId="0" fontId="27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8" numFmtId="0" xfId="0" applyAlignment="1" applyBorder="1" applyFont="1">
      <alignment readingOrder="0" shrinkToFit="0" vertical="center" wrapText="1"/>
    </xf>
    <xf borderId="1" fillId="3" fontId="29" numFmtId="0" xfId="0" applyAlignment="1" applyBorder="1" applyFill="1" applyFont="1">
      <alignment readingOrder="0" shrinkToFit="0" vertical="center" wrapText="0"/>
    </xf>
    <xf borderId="1" fillId="0" fontId="30" numFmtId="0" xfId="0" applyAlignment="1" applyBorder="1" applyFont="1">
      <alignment horizontal="center" shrinkToFit="0" vertical="center" wrapText="0"/>
    </xf>
    <xf borderId="1" fillId="0" fontId="31" numFmtId="0" xfId="0" applyAlignment="1" applyBorder="1" applyFont="1">
      <alignment horizontal="center" shrinkToFit="0" vertical="center" wrapText="1"/>
    </xf>
    <xf borderId="1" fillId="3" fontId="32" numFmtId="0" xfId="0" applyAlignment="1" applyBorder="1" applyFill="1" applyFont="1">
      <alignment readingOrder="0" shrinkToFit="0" vertical="center" wrapText="0"/>
    </xf>
    <xf borderId="1" fillId="3" fontId="29" numFmtId="0" xfId="0" applyAlignment="1" applyBorder="1" applyFill="1" applyFont="1">
      <alignment shrinkToFit="0" vertical="center" wrapText="0"/>
    </xf>
    <xf borderId="1" fillId="3" fontId="29" numFmtId="0" xfId="0" applyAlignment="1" applyBorder="1" applyFill="1" applyFont="1">
      <alignment shrinkToFit="0" vertical="center" wrapText="0"/>
    </xf>
    <xf borderId="1" fillId="3" fontId="29" numFmtId="164" xfId="0" applyAlignment="1" applyBorder="1" applyFill="1" applyFont="1" applyNumberFormat="1">
      <alignment shrinkToFit="0" vertical="center" wrapText="0"/>
    </xf>
    <xf borderId="1" fillId="4" fontId="29" numFmtId="0" xfId="0" applyAlignment="1" applyBorder="1" applyFill="1" applyFont="1">
      <alignment readingOrder="0" shrinkToFit="0" vertical="center" wrapText="0"/>
    </xf>
    <xf borderId="1" fillId="4" fontId="32" numFmtId="0" xfId="0" applyAlignment="1" applyBorder="1" applyFill="1" applyFont="1">
      <alignment readingOrder="0" shrinkToFit="0" vertical="center" wrapText="0"/>
    </xf>
    <xf borderId="1" fillId="4" fontId="29" numFmtId="0" xfId="0" applyAlignment="1" applyBorder="1" applyFill="1" applyFont="1">
      <alignment shrinkToFit="0" vertical="center" wrapText="0"/>
    </xf>
    <xf borderId="1" fillId="0" fontId="33" numFmtId="49" xfId="0" applyAlignment="1" applyBorder="1" applyFont="1" applyNumberFormat="1">
      <alignment readingOrder="0" shrinkToFit="0" vertical="center" wrapText="1"/>
    </xf>
    <xf borderId="1" fillId="4" fontId="29" numFmtId="164" xfId="0" applyAlignment="1" applyBorder="1" applyFill="1" applyFont="1" applyNumberFormat="1">
      <alignment shrinkToFit="0" vertical="center" wrapText="0"/>
    </xf>
    <xf borderId="1" fillId="3" fontId="34" numFmtId="0" xfId="0" applyAlignment="1" applyBorder="1" applyFill="1" applyFont="1">
      <alignment readingOrder="0" shrinkToFit="0" vertical="center" wrapText="0"/>
    </xf>
    <xf borderId="1" fillId="0" fontId="20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65" xfId="0" applyAlignment="1" applyBorder="1" applyFont="1" applyNumberFormat="1">
      <alignment readingOrder="0" shrinkToFit="0" vertical="center" wrapText="0"/>
    </xf>
    <xf borderId="7" fillId="0" fontId="27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shrinkToFit="0" vertical="center" wrapText="0"/>
    </xf>
    <xf borderId="1" fillId="0" fontId="17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5" fontId="1" numFmtId="0" xfId="0" applyAlignment="1" applyFill="1" applyFont="1">
      <alignment shrinkToFit="0" vertical="center" wrapText="0"/>
    </xf>
    <xf borderId="1" fillId="5" fontId="35" numFmtId="0" xfId="0" applyAlignment="1" applyBorder="1" applyFill="1" applyFont="1">
      <alignment readingOrder="0" shrinkToFit="0" vertical="center" wrapText="0"/>
    </xf>
    <xf borderId="0" fillId="0" fontId="13" numFmtId="0" xfId="0" applyAlignment="1" applyFont="1">
      <alignment vertical="center"/>
    </xf>
    <xf borderId="0" fillId="0" fontId="27" numFmtId="0" xfId="0" applyAlignment="1" applyFont="1">
      <alignment horizontal="center" shrinkToFit="0" vertical="center" wrapText="1"/>
    </xf>
    <xf borderId="0" fillId="0" fontId="36" numFmtId="0" xfId="0" applyFont="1"/>
    <xf borderId="0" fillId="0" fontId="36" numFmtId="0" xfId="0" applyAlignment="1" applyFont="1">
      <alignment horizontal="center" shrinkToFit="0" wrapText="1"/>
    </xf>
    <xf borderId="1" fillId="4" fontId="37" numFmtId="164" xfId="0" applyAlignment="1" applyBorder="1" applyFill="1" applyFont="1" applyNumberFormat="1">
      <alignment horizontal="right" shrinkToFit="0" vertical="center" wrapText="0"/>
    </xf>
    <xf borderId="1" fillId="6" fontId="37" numFmtId="164" xfId="0" applyAlignment="1" applyBorder="1" applyFill="1" applyFont="1" applyNumberFormat="1">
      <alignment horizontal="right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17" numFmtId="0" xfId="0" applyAlignment="1" applyBorder="1" applyFont="1">
      <alignment shrinkToFit="0" vertical="center" wrapText="0"/>
    </xf>
    <xf borderId="1" fillId="0" fontId="17" numFmtId="0" xfId="0" applyAlignment="1" applyBorder="1" applyFont="1">
      <alignment readingOrder="0" shrinkToFit="0" vertical="center" wrapText="0"/>
    </xf>
    <xf borderId="1" fillId="5" fontId="1" numFmtId="0" xfId="0" applyAlignment="1" applyBorder="1" applyFill="1" applyFont="1">
      <alignment shrinkToFit="0" vertical="center" wrapText="0"/>
    </xf>
    <xf borderId="1" fillId="7" fontId="17" numFmtId="0" xfId="0" applyAlignment="1" applyBorder="1" applyFill="1" applyFont="1">
      <alignment readingOrder="0" shrinkToFit="0" vertical="center" wrapText="0"/>
    </xf>
    <xf borderId="1" fillId="0" fontId="17" numFmtId="0" xfId="0" applyAlignment="1" applyBorder="1" applyFont="1">
      <alignment readingOrder="0" shrinkToFit="0" vertical="center" wrapText="0"/>
    </xf>
    <xf borderId="1" fillId="7" fontId="17" numFmtId="0" xfId="0" applyAlignment="1" applyBorder="1" applyFill="1" applyFont="1">
      <alignment shrinkToFit="0" vertical="center" wrapText="0"/>
    </xf>
    <xf borderId="1" fillId="0" fontId="17" numFmtId="0" xfId="0" applyAlignment="1" applyBorder="1" applyFont="1">
      <alignment shrinkToFit="0" vertical="center" wrapText="0"/>
    </xf>
    <xf borderId="0" fillId="0" fontId="1" numFmtId="0" xfId="0" applyFont="1"/>
    <xf borderId="1" fillId="0" fontId="4" numFmtId="166" xfId="0" applyAlignment="1" applyBorder="1" applyFont="1" applyNumberFormat="1">
      <alignment readingOrder="0" shrinkToFit="0" vertical="center" wrapText="0"/>
    </xf>
    <xf borderId="0" fillId="0" fontId="29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36" numFmtId="0" xfId="0" applyAlignment="1" applyFont="1">
      <alignment horizontal="center" vertical="center"/>
    </xf>
    <xf borderId="0" fillId="0" fontId="36" numFmtId="0" xfId="0" applyAlignment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  <tableStyles count="6">
    <tableStyle count="4" pivot="0" name="TOTAL BY TYPE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GRES ZONA 25HA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SITEPLAN STATUS &amp; PHOTO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TOTAL BY TYPE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ITEPLAN STATUS &amp; PHOTO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SITEPLAN STATUS &amp; PHOTO-style 3">
      <tableStyleElement dxfId="1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Q47" displayName="PROGRES_ZONA" name="PROGRES_ZONA" id="2">
  <autoFilter ref="$B$5:$Q$47"/>
  <tableColumns count="16">
    <tableColumn name="ZONA" id="1"/>
    <tableColumn name="TYPE" id="2"/>
    <tableColumn name="ACC MAKAM" id="3"/>
    <tableColumn name="RENCANA" id="4"/>
    <tableColumn name="SPK" id="5"/>
    <tableColumn name="TERJUAL" id="6"/>
    <tableColumn name="SISA STOK" id="7"/>
    <tableColumn name="FUNERAL READY" id="8"/>
    <tableColumn name="% FUNERAL READY" id="9"/>
    <tableColumn name="STATUS PROYEK" id="10"/>
    <tableColumn name="KONTRAKTOR" id="11"/>
    <tableColumn name="TANGGAL MULAI SPK" id="12"/>
    <tableColumn name="TANGGAL SELESAI SPK" id="13"/>
    <tableColumn name="AKTUAL PROGRESS" id="14"/>
    <tableColumn name="DEVIASI" id="15"/>
    <tableColumn name="KETERANGAN" id="16"/>
  </tableColumns>
  <tableStyleInfo name="PROGRES ZONA 25HA-style" showColumnStripes="0" showFirstColumn="1" showLastColumn="1" showRowStripes="1"/>
</table>
</file>

<file path=xl/tables/table2.xml><?xml version="1.0" encoding="utf-8"?>
<table xmlns="http://schemas.openxmlformats.org/spreadsheetml/2006/main" ref="A3:H17" displayName="TOTAL_BY_TYPE" name="TOTAL_BY_TYPE" id="3">
  <tableColumns count="8">
    <tableColumn name="TYPE" id="1"/>
    <tableColumn name="TYPE GROUP" id="2"/>
    <tableColumn name="STOK (RENCANA)" id="3"/>
    <tableColumn name="STOK (SPK)" id="4"/>
    <tableColumn name="TERJUAL" id="5"/>
    <tableColumn name="SISA STOK" id="6"/>
    <tableColumn name="FUNERAL READY" id="7"/>
    <tableColumn name="%" id="8"/>
  </tableColumns>
  <tableStyleInfo name="TOTAL BY TYPE-style" showColumnStripes="0" showFirstColumn="1" showLastColumn="1" showRowStripes="1"/>
</table>
</file>

<file path=xl/tables/table3.xml><?xml version="1.0" encoding="utf-8"?>
<table xmlns="http://schemas.openxmlformats.org/spreadsheetml/2006/main" ref="A20:I26" displayName="REKAP_TYPE" name="REKAP_TYPE" id="4">
  <tableColumns count="9">
    <tableColumn name="TYPE" id="1"/>
    <tableColumn name="STOK (RENCANA)" id="2"/>
    <tableColumn name="STOK (SPK)" id="3"/>
    <tableColumn name="TERJUAL" id="4"/>
    <tableColumn name="SISA STOK" id="5"/>
    <tableColumn name="FUNERAL READY" id="6"/>
    <tableColumn name="%" id="7"/>
    <tableColumn name="TARGET STOK" id="8"/>
    <tableColumn name="SELISIH STOK " id="9"/>
  </tableColumns>
  <tableStyleInfo name="TOTAL BY TYPE-style 2" showColumnStripes="0" showFirstColumn="1" showLastColumn="1" showRowStripes="1"/>
</table>
</file>

<file path=xl/tables/table4.xml><?xml version="1.0" encoding="utf-8"?>
<table xmlns="http://schemas.openxmlformats.org/spreadsheetml/2006/main" ref="C5:F17" displayName="Table3" name="Table3" id="1">
  <tableColumns count="4">
    <tableColumn name="NO" id="1"/>
    <tableColumn name="ZONA" id="2"/>
    <tableColumn name="FOTO 25 SEPT 2026" id="3"/>
    <tableColumn name="STATUS 25 SEPT 2026" id="4"/>
  </tableColumns>
  <tableStyleInfo name="SITEPLAN STATUS &amp; PHOTO-style" showColumnStripes="0" showFirstColumn="1" showLastColumn="1" showRowStripes="1"/>
</table>
</file>

<file path=xl/tables/table5.xml><?xml version="1.0" encoding="utf-8"?>
<table xmlns="http://schemas.openxmlformats.org/spreadsheetml/2006/main" ref="H5:K17" displayName="Table1" name="Table1" id="5">
  <tableColumns count="4">
    <tableColumn name="NO" id="1"/>
    <tableColumn name="ZONA" id="2"/>
    <tableColumn name="FOTO 15 SEPT 2026" id="3"/>
    <tableColumn name="STATUS 15 SEPT 2026" id="4"/>
  </tableColumns>
  <tableStyleInfo name="SITEPLAN STATUS &amp; PHOTO-style 2" showColumnStripes="0" showFirstColumn="1" showLastColumn="1" showRowStripes="1"/>
</table>
</file>

<file path=xl/tables/table6.xml><?xml version="1.0" encoding="utf-8"?>
<table xmlns="http://schemas.openxmlformats.org/spreadsheetml/2006/main" ref="M5:P11" displayName="Table2" name="Table2" id="6">
  <tableColumns count="4">
    <tableColumn name="NO" id="1"/>
    <tableColumn name="ZONA" id="2"/>
    <tableColumn name="FOTO 8 SEPT 2026" id="3"/>
    <tableColumn name="STATUS 8 SEPT 2026" id="4"/>
  </tableColumns>
  <tableStyleInfo name="SITEPLAN STATUS &amp; PHOT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vmlDrawing" Target="../drawings/vmlDrawing1.vml"/><Relationship Id="rId20" Type="http://schemas.openxmlformats.org/officeDocument/2006/relationships/hyperlink" Target="https://drive.google.com/open?id=11f-H0b0S2s0gn0Wr_Sz4Z6ZlXSjpK_6L&amp;usp=drive_fs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drive.google.com/open?id=115SE3gEZqMaLXwP_Xt_Qp0_Pd4wok2rr&amp;usp=drive_fs" TargetMode="External"/><Relationship Id="rId21" Type="http://schemas.openxmlformats.org/officeDocument/2006/relationships/hyperlink" Target="https://drive.google.com/open?id=1K6liyT-QfR8PxlYm8TaPofrLBq4s8X3j&amp;usp=drive_fs" TargetMode="External"/><Relationship Id="rId24" Type="http://schemas.openxmlformats.org/officeDocument/2006/relationships/hyperlink" Target="https://drive.google.com/open?id=115SE3gEZqMaLXwP_Xt_Qp0_Pd4wok2rr&amp;usp=drive_fs" TargetMode="External"/><Relationship Id="rId23" Type="http://schemas.openxmlformats.org/officeDocument/2006/relationships/hyperlink" Target="https://drive.google.com/open?id=115SE3gEZqMaLXwP_Xt_Qp0_Pd4wok2rr&amp;usp=drive_f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fVIivp_aa5lqLBRYZAHfla7-mcbt4zt0/edit?rtpof=true&amp;sd=true&amp;gid=2019601812" TargetMode="External"/><Relationship Id="rId3" Type="http://schemas.openxmlformats.org/officeDocument/2006/relationships/hyperlink" Target="https://drive.google.com/open?id=1181o-Rw9nh0JIVYKdlRSvozUdDP1E1eU&amp;usp=drive_fs" TargetMode="External"/><Relationship Id="rId4" Type="http://schemas.openxmlformats.org/officeDocument/2006/relationships/hyperlink" Target="https://drive.google.com/open?id=1181o-Rw9nh0JIVYKdlRSvozUdDP1E1eU&amp;usp=drive_fs" TargetMode="External"/><Relationship Id="rId9" Type="http://schemas.openxmlformats.org/officeDocument/2006/relationships/hyperlink" Target="https://drive.google.com/open?id=1Eu6sFhI-xc2UvnfOmAiriutJ4fbe0Bce&amp;usp=drive_fs" TargetMode="External"/><Relationship Id="rId26" Type="http://schemas.openxmlformats.org/officeDocument/2006/relationships/hyperlink" Target="https://drive.google.com/open?id=11mMN55Fr7RYpiRbojLQm7gViHkFNRNpn&amp;usp=drive_fs" TargetMode="External"/><Relationship Id="rId25" Type="http://schemas.openxmlformats.org/officeDocument/2006/relationships/hyperlink" Target="https://drive.google.com/open?id=11mMN55Fr7RYpiRbojLQm7gViHkFNRNpn&amp;usp=drive_fs" TargetMode="External"/><Relationship Id="rId28" Type="http://schemas.openxmlformats.org/officeDocument/2006/relationships/hyperlink" Target="https://drive.google.com/open?id=16WPidPR68Yx1T6HaDMEVagvqER0gypqr&amp;usp=drive_fs" TargetMode="External"/><Relationship Id="rId27" Type="http://schemas.openxmlformats.org/officeDocument/2006/relationships/hyperlink" Target="https://drive.google.com/open?id=11mMN55Fr7RYpiRbojLQm7gViHkFNRNpn&amp;usp=drive_fs" TargetMode="External"/><Relationship Id="rId5" Type="http://schemas.openxmlformats.org/officeDocument/2006/relationships/hyperlink" Target="https://drive.google.com/open?id=1drlB8VKxAfB9xe9_hG6_cbIoTMKmE_0n&amp;usp=drive_fs" TargetMode="External"/><Relationship Id="rId6" Type="http://schemas.openxmlformats.org/officeDocument/2006/relationships/hyperlink" Target="https://drive.google.com/open?id=1drlB8VKxAfB9xe9_hG6_cbIoTMKmE_0n&amp;usp=drive_fs" TargetMode="External"/><Relationship Id="rId29" Type="http://schemas.openxmlformats.org/officeDocument/2006/relationships/hyperlink" Target="https://drive.google.com/open?id=1KT88A8AqF0JRBZLmSpuzy1pim0uObXB9&amp;usp=drive_fs" TargetMode="External"/><Relationship Id="rId7" Type="http://schemas.openxmlformats.org/officeDocument/2006/relationships/hyperlink" Target="https://drive.google.com/open?id=1UijxdEQ7hNZ6Sop52V-0zp1K1-VBR6gU&amp;usp=drive_fs" TargetMode="External"/><Relationship Id="rId8" Type="http://schemas.openxmlformats.org/officeDocument/2006/relationships/hyperlink" Target="https://drive.google.com/open?id=1UijxdEQ7hNZ6Sop52V-0zp1K1-VBR6gU&amp;usp=drive_fs" TargetMode="External"/><Relationship Id="rId31" Type="http://schemas.openxmlformats.org/officeDocument/2006/relationships/hyperlink" Target="https://drive.google.com/open?id=1aSHzR-v0sV_qJFU_NA4wMa3FH17MmIVH&amp;usp=drive_fs" TargetMode="External"/><Relationship Id="rId30" Type="http://schemas.openxmlformats.org/officeDocument/2006/relationships/hyperlink" Target="https://drive.google.com/open?id=16WPidPR68Yx1T6HaDMEVagvqER0gypqr&amp;usp=drive_fs" TargetMode="External"/><Relationship Id="rId11" Type="http://schemas.openxmlformats.org/officeDocument/2006/relationships/hyperlink" Target="https://drive.google.com/open?id=1Eu6sFhI-xc2UvnfOmAiriutJ4fbe0Bce&amp;usp=drive_fs" TargetMode="External"/><Relationship Id="rId33" Type="http://schemas.openxmlformats.org/officeDocument/2006/relationships/hyperlink" Target="https://drive.google.com/open?id=17cpv3r2cwVY08sP7e30AMGGDsZKvd9_Q&amp;usp=drive_fs" TargetMode="External"/><Relationship Id="rId10" Type="http://schemas.openxmlformats.org/officeDocument/2006/relationships/hyperlink" Target="https://drive.google.com/open?id=1Eu6sFhI-xc2UvnfOmAiriutJ4fbe0Bce&amp;usp=drive_fs" TargetMode="External"/><Relationship Id="rId32" Type="http://schemas.openxmlformats.org/officeDocument/2006/relationships/hyperlink" Target="https://drive.google.com/open?id=1aSHzR-v0sV_qJFU_NA4wMa3FH17MmIVH&amp;usp=drive_fs" TargetMode="External"/><Relationship Id="rId13" Type="http://schemas.openxmlformats.org/officeDocument/2006/relationships/hyperlink" Target="https://drive.google.com/open?id=1Um5O_zKe7koYY_tN1WNviT1SnMjW22b8&amp;usp=drive_fs" TargetMode="External"/><Relationship Id="rId35" Type="http://schemas.openxmlformats.org/officeDocument/2006/relationships/hyperlink" Target="https://drive.google.com/open?id=1xlMzJDkUkJ41C_PWHndx6g43Q-YxehWj&amp;usp=drive_fs" TargetMode="External"/><Relationship Id="rId12" Type="http://schemas.openxmlformats.org/officeDocument/2006/relationships/hyperlink" Target="https://drive.google.com/open?id=1FKylqnRRT0qEiv6eHwf6zGzwLSCYsSM0&amp;usp=drive_fs" TargetMode="External"/><Relationship Id="rId34" Type="http://schemas.openxmlformats.org/officeDocument/2006/relationships/hyperlink" Target="https://drive.google.com/open?id=17cpv3r2cwVY08sP7e30AMGGDsZKvd9_Q&amp;usp=drive_fs" TargetMode="External"/><Relationship Id="rId15" Type="http://schemas.openxmlformats.org/officeDocument/2006/relationships/hyperlink" Target="https://drive.google.com/open?id=1Um5O_zKe7koYY_tN1WNviT1SnMjW22b8&amp;usp=drive_fs" TargetMode="External"/><Relationship Id="rId37" Type="http://schemas.openxmlformats.org/officeDocument/2006/relationships/hyperlink" Target="https://drive.google.com/open?id=1S66yNUxFwxDTvmTMvFu-Illwt1nfhob-&amp;usp=drive_fs" TargetMode="External"/><Relationship Id="rId14" Type="http://schemas.openxmlformats.org/officeDocument/2006/relationships/hyperlink" Target="https://drive.google.com/open?id=1Um5O_zKe7koYY_tN1WNviT1SnMjW22b8&amp;usp=drive_fs" TargetMode="External"/><Relationship Id="rId36" Type="http://schemas.openxmlformats.org/officeDocument/2006/relationships/hyperlink" Target="https://drive.google.com/open?id=1xlMzJDkUkJ41C_PWHndx6g43Q-YxehWj&amp;usp=drive_fs" TargetMode="External"/><Relationship Id="rId17" Type="http://schemas.openxmlformats.org/officeDocument/2006/relationships/hyperlink" Target="https://drive.google.com/open?id=1Um5O_zKe7koYY_tN1WNviT1SnMjW22b8&amp;usp=drive_fs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rive.google.com/open?id=1Um5O_zKe7koYY_tN1WNviT1SnMjW22b8&amp;usp=drive_fs" TargetMode="External"/><Relationship Id="rId38" Type="http://schemas.openxmlformats.org/officeDocument/2006/relationships/hyperlink" Target="https://drive.google.com/open?id=1S66yNUxFwxDTvmTMvFu-Illwt1nfhob-&amp;usp=drive_fs" TargetMode="External"/><Relationship Id="rId19" Type="http://schemas.openxmlformats.org/officeDocument/2006/relationships/hyperlink" Target="https://drive.google.com/open?id=1LP07vRAFiIMa4hlR28kTjzew9avvXq90&amp;usp=drive_fs" TargetMode="External"/><Relationship Id="rId18" Type="http://schemas.openxmlformats.org/officeDocument/2006/relationships/hyperlink" Target="https://drive.google.com/open?id=1Um5O_zKe7koYY_tN1WNviT1SnMjW22b8&amp;usp=drive_f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hotos.app.goo.gl/cqH5ZtdSdicuQrnY7" TargetMode="External"/><Relationship Id="rId42" Type="http://schemas.openxmlformats.org/officeDocument/2006/relationships/hyperlink" Target="https://photos.app.goo.gl/EmKm9GxYqNRBNuva6" TargetMode="External"/><Relationship Id="rId41" Type="http://schemas.openxmlformats.org/officeDocument/2006/relationships/hyperlink" Target="https://drive.google.com/open?id=1gMJlWlQozWWmyqRLSSFLoQCgo7Lz7vBq&amp;usp=drive_fs" TargetMode="External"/><Relationship Id="rId44" Type="http://schemas.openxmlformats.org/officeDocument/2006/relationships/hyperlink" Target="https://photos.app.goo.gl/9AdaRobhnt9j2WDY8" TargetMode="External"/><Relationship Id="rId43" Type="http://schemas.openxmlformats.org/officeDocument/2006/relationships/hyperlink" Target="https://drive.google.com/open?id=1SsALw0uuCxemq3RAIIxPpFW6ZjYTjUyf&amp;usp=drive_fs" TargetMode="External"/><Relationship Id="rId46" Type="http://schemas.openxmlformats.org/officeDocument/2006/relationships/hyperlink" Target="https://photos.app.goo.gl/irAoQp3hdEHbcEZs6" TargetMode="External"/><Relationship Id="rId45" Type="http://schemas.openxmlformats.org/officeDocument/2006/relationships/hyperlink" Target="https://drive.google.com/open?id=12tSk36um8gqyBsWS8bRZac-esdvYY9Va&amp;usp=drive_fs" TargetMode="External"/><Relationship Id="rId1" Type="http://schemas.openxmlformats.org/officeDocument/2006/relationships/hyperlink" Target="https://photos.app.goo.gl/BKN85zVbDVfQyyhSA" TargetMode="External"/><Relationship Id="rId2" Type="http://schemas.openxmlformats.org/officeDocument/2006/relationships/hyperlink" Target="https://drive.google.com/open?id=18lDnsbO12GnWcWm2jqgb2RVyjaW1z6Mi&amp;usp=drive_fs" TargetMode="External"/><Relationship Id="rId3" Type="http://schemas.openxmlformats.org/officeDocument/2006/relationships/hyperlink" Target="https://photos.app.goo.gl/D2HbtQB6qKCCyKgx8" TargetMode="External"/><Relationship Id="rId4" Type="http://schemas.openxmlformats.org/officeDocument/2006/relationships/hyperlink" Target="https://drive.google.com/open?id=1yA8g0rvkH6heon0NgfaDD63QKFOoos4G&amp;usp=drive_fs" TargetMode="External"/><Relationship Id="rId9" Type="http://schemas.openxmlformats.org/officeDocument/2006/relationships/hyperlink" Target="https://photos.app.goo.gl/yT2wb4RAvsSbnQgV8" TargetMode="External"/><Relationship Id="rId48" Type="http://schemas.openxmlformats.org/officeDocument/2006/relationships/hyperlink" Target="https://photos.app.goo.gl/2YFTUULYXwyFVeyw7" TargetMode="External"/><Relationship Id="rId47" Type="http://schemas.openxmlformats.org/officeDocument/2006/relationships/hyperlink" Target="https://drive.google.com/open?id=1S1-tm2PI_S70i1KpNfEXvd9GnRMlnPpX&amp;usp=drive_fs" TargetMode="External"/><Relationship Id="rId49" Type="http://schemas.openxmlformats.org/officeDocument/2006/relationships/hyperlink" Target="https://drive.google.com/open?id=1iSLYaDRWJKRYnL2FT_QY0v4B516s8Bbn&amp;usp=drive_fs" TargetMode="External"/><Relationship Id="rId5" Type="http://schemas.openxmlformats.org/officeDocument/2006/relationships/hyperlink" Target="https://photos.app.goo.gl/uJfHntrtFwtoDkx26" TargetMode="External"/><Relationship Id="rId6" Type="http://schemas.openxmlformats.org/officeDocument/2006/relationships/hyperlink" Target="https://drive.google.com/open?id=1EvCmIzbQtsDzpkryZ34s4g1SN5O-jsan&amp;usp=drive_fs" TargetMode="External"/><Relationship Id="rId7" Type="http://schemas.openxmlformats.org/officeDocument/2006/relationships/hyperlink" Target="https://photos.app.goo.gl/go93FTe4LYesnaVy5" TargetMode="External"/><Relationship Id="rId8" Type="http://schemas.openxmlformats.org/officeDocument/2006/relationships/hyperlink" Target="https://drive.google.com/open?id=100aDT_yU6V2u_XI0sQNr5s_NvgACzXkO&amp;usp=drive_fs" TargetMode="External"/><Relationship Id="rId31" Type="http://schemas.openxmlformats.org/officeDocument/2006/relationships/hyperlink" Target="https://photos.app.goo.gl/gx7Ui1wNUPW1jK347" TargetMode="External"/><Relationship Id="rId30" Type="http://schemas.openxmlformats.org/officeDocument/2006/relationships/hyperlink" Target="https://drive.google.com/open?id=1U60M2W0juSymHnhqNJ4T4OtXqBBQGfyS&amp;usp=drive_fs" TargetMode="External"/><Relationship Id="rId33" Type="http://schemas.openxmlformats.org/officeDocument/2006/relationships/hyperlink" Target="https://drive.google.com/open?id=1vFbKBd4CnczeKQgSSRVdVIJP6cFiWXF_&amp;usp=drive_fs" TargetMode="External"/><Relationship Id="rId32" Type="http://schemas.openxmlformats.org/officeDocument/2006/relationships/hyperlink" Target="https://photos.app.goo.gl/th7sWUzDUXhF44939" TargetMode="External"/><Relationship Id="rId35" Type="http://schemas.openxmlformats.org/officeDocument/2006/relationships/hyperlink" Target="https://drive.google.com/open?id=1t-TreIXPAucQ72-3OwMRndhmJhKkSjXU&amp;usp=drive_fs" TargetMode="External"/><Relationship Id="rId34" Type="http://schemas.openxmlformats.org/officeDocument/2006/relationships/hyperlink" Target="https://photos.app.goo.gl/taoAvkwnmdT4wYzJ7" TargetMode="External"/><Relationship Id="rId37" Type="http://schemas.openxmlformats.org/officeDocument/2006/relationships/hyperlink" Target="https://drive.google.com/open?id=1dWl3r7NoG1-MJjLTQR7uLV4Ap3995dZc&amp;usp=drive_fs" TargetMode="External"/><Relationship Id="rId36" Type="http://schemas.openxmlformats.org/officeDocument/2006/relationships/hyperlink" Target="https://photos.app.goo.gl/TLapwgCzfrP4HCB17" TargetMode="External"/><Relationship Id="rId39" Type="http://schemas.openxmlformats.org/officeDocument/2006/relationships/hyperlink" Target="https://drive.google.com/open?id=1Z9MbEikgQijrY8ljlN_Mez1APARnVa1j&amp;usp=drive_fs" TargetMode="External"/><Relationship Id="rId38" Type="http://schemas.openxmlformats.org/officeDocument/2006/relationships/hyperlink" Target="https://photos.app.goo.gl/ZS2148X6updSia8U9" TargetMode="External"/><Relationship Id="rId62" Type="http://schemas.openxmlformats.org/officeDocument/2006/relationships/table" Target="../tables/table6.xml"/><Relationship Id="rId61" Type="http://schemas.openxmlformats.org/officeDocument/2006/relationships/table" Target="../tables/table5.xml"/><Relationship Id="rId20" Type="http://schemas.openxmlformats.org/officeDocument/2006/relationships/hyperlink" Target="https://drive.google.com/open?id=1rF9pu2gy9IVGRmkLiEiIz7EcfO1qaBRV&amp;usp=drive_fs" TargetMode="External"/><Relationship Id="rId22" Type="http://schemas.openxmlformats.org/officeDocument/2006/relationships/hyperlink" Target="https://photos.app.goo.gl/19MeGcvE7b85Py1j8" TargetMode="External"/><Relationship Id="rId21" Type="http://schemas.openxmlformats.org/officeDocument/2006/relationships/hyperlink" Target="https://photos.app.goo.gl/LqZ3fZddavih2cCa9" TargetMode="External"/><Relationship Id="rId24" Type="http://schemas.openxmlformats.org/officeDocument/2006/relationships/hyperlink" Target="https://photos.app.goo.gl/pnWu8ih4qDukTCAC7" TargetMode="External"/><Relationship Id="rId23" Type="http://schemas.openxmlformats.org/officeDocument/2006/relationships/hyperlink" Target="https://drive.google.com/open?id=142WHc_j8V2llBX3ZCjBOhWkghwt909aB&amp;usp=drive_fs" TargetMode="External"/><Relationship Id="rId60" Type="http://schemas.openxmlformats.org/officeDocument/2006/relationships/table" Target="../tables/table4.xml"/><Relationship Id="rId26" Type="http://schemas.openxmlformats.org/officeDocument/2006/relationships/hyperlink" Target="https://photos.app.goo.gl/eNKsHcsUH9P6ZvUE9" TargetMode="External"/><Relationship Id="rId25" Type="http://schemas.openxmlformats.org/officeDocument/2006/relationships/hyperlink" Target="https://drive.google.com/open?id=1N9ckQt5MtDyvvp4A_GUwxu1LOoi5lGbf&amp;usp=drive_fs" TargetMode="External"/><Relationship Id="rId28" Type="http://schemas.openxmlformats.org/officeDocument/2006/relationships/hyperlink" Target="https://drive.google.com/open?id=1pt9s102nL_XiSGdOstu96aP9I8F1m3hy&amp;usp=drive_fs" TargetMode="External"/><Relationship Id="rId27" Type="http://schemas.openxmlformats.org/officeDocument/2006/relationships/hyperlink" Target="https://photos.app.goo.gl/sQxyNTVoAXfBMGrG7" TargetMode="External"/><Relationship Id="rId29" Type="http://schemas.openxmlformats.org/officeDocument/2006/relationships/hyperlink" Target="https://photos.app.goo.gl/fiHNL8jVuxmS2bTR9" TargetMode="External"/><Relationship Id="rId51" Type="http://schemas.openxmlformats.org/officeDocument/2006/relationships/hyperlink" Target="https://drive.google.com/open?id=1ZXmr_gedn9eqCelNsu-gcD8GWumnmS4w&amp;usp=drive_fs" TargetMode="External"/><Relationship Id="rId50" Type="http://schemas.openxmlformats.org/officeDocument/2006/relationships/hyperlink" Target="https://photos.app.goo.gl/aebEFFDAbLXYk982A" TargetMode="External"/><Relationship Id="rId53" Type="http://schemas.openxmlformats.org/officeDocument/2006/relationships/hyperlink" Target="https://drive.google.com/open?id=1NEmb_7NI4ZdCLl3TNaP63hSG96NjNQAU&amp;usp=drive_fs" TargetMode="External"/><Relationship Id="rId52" Type="http://schemas.openxmlformats.org/officeDocument/2006/relationships/hyperlink" Target="https://photos.app.goo.gl/ojjSMF1QeE4MjDwy6" TargetMode="External"/><Relationship Id="rId11" Type="http://schemas.openxmlformats.org/officeDocument/2006/relationships/hyperlink" Target="https://photos.app.goo.gl/4MJhqHTx2msUEd6f7" TargetMode="External"/><Relationship Id="rId55" Type="http://schemas.openxmlformats.org/officeDocument/2006/relationships/hyperlink" Target="https://drive.google.com/open?id=1nXv2Xc_hSve2V15kPN7wQE9JxUpgyvEX&amp;usp=drive_fs" TargetMode="External"/><Relationship Id="rId10" Type="http://schemas.openxmlformats.org/officeDocument/2006/relationships/hyperlink" Target="https://drive.google.com/open?id=1O-XZ7sO9DEoehDkmiq4QTVwCqb_9bDhT&amp;usp=drive_fs" TargetMode="External"/><Relationship Id="rId54" Type="http://schemas.openxmlformats.org/officeDocument/2006/relationships/hyperlink" Target="https://photos.app.goo.gl/za4hujK2M2C6deKp6" TargetMode="External"/><Relationship Id="rId13" Type="http://schemas.openxmlformats.org/officeDocument/2006/relationships/hyperlink" Target="https://drive.google.com/open?id=1sIAmm79SijeaFShrqp5iJU8tanekshIr&amp;usp=drive_fs" TargetMode="External"/><Relationship Id="rId12" Type="http://schemas.openxmlformats.org/officeDocument/2006/relationships/hyperlink" Target="https://photos.app.goo.gl/rqYoVZogQpRwQMqT6" TargetMode="External"/><Relationship Id="rId56" Type="http://schemas.openxmlformats.org/officeDocument/2006/relationships/drawing" Target="../drawings/drawing3.xml"/><Relationship Id="rId15" Type="http://schemas.openxmlformats.org/officeDocument/2006/relationships/hyperlink" Target="https://drive.google.com/open?id=17QpX_Tm7VyQLAiWfA5O-EB3ZiUyY3BaJ&amp;usp=drive_fs" TargetMode="External"/><Relationship Id="rId14" Type="http://schemas.openxmlformats.org/officeDocument/2006/relationships/hyperlink" Target="https://photos.app.goo.gl/yT2wb4RAvsSbnQgV8" TargetMode="External"/><Relationship Id="rId17" Type="http://schemas.openxmlformats.org/officeDocument/2006/relationships/hyperlink" Target="https://photos.app.goo.gl/zWY93cQuicJsN8rx5" TargetMode="External"/><Relationship Id="rId16" Type="http://schemas.openxmlformats.org/officeDocument/2006/relationships/hyperlink" Target="https://photos.app.goo.gl/gTMNsHNu5fCDMEMG9" TargetMode="External"/><Relationship Id="rId19" Type="http://schemas.openxmlformats.org/officeDocument/2006/relationships/hyperlink" Target="https://photos.app.goo.gl/pnWu8ih4qDukTCAC7" TargetMode="External"/><Relationship Id="rId18" Type="http://schemas.openxmlformats.org/officeDocument/2006/relationships/hyperlink" Target="https://drive.google.com/open?id=1YOQUzVM_ekieLY_uY9cjlEz3EYV_fd6c&amp;usp=drive_f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3.86"/>
    <col customWidth="1" min="2" max="2" width="28.43"/>
    <col customWidth="1" min="3" max="3" width="22.14"/>
    <col customWidth="1" min="4" max="9" width="19.14"/>
    <col customWidth="1" min="10" max="10" width="16.43"/>
    <col customWidth="1" min="11" max="11" width="28.43"/>
    <col customWidth="1" min="12" max="12" width="19.43"/>
    <col customWidth="1" min="13" max="16" width="15.71"/>
    <col customWidth="1" min="17" max="17" width="19.29"/>
    <col customWidth="1" min="18" max="18" width="8.71"/>
  </cols>
  <sheetData>
    <row r="1" ht="24.0" customHeight="1">
      <c r="A1" s="12" t="s">
        <v>27</v>
      </c>
      <c r="B1" s="13" t="s">
        <v>28</v>
      </c>
      <c r="C1" s="14" t="s">
        <v>29</v>
      </c>
      <c r="D1" s="25" t="s">
        <v>30</v>
      </c>
      <c r="F1" s="27"/>
      <c r="G1" s="29" t="s">
        <v>33</v>
      </c>
      <c r="R1" s="30"/>
    </row>
    <row r="2" ht="12.75" customHeight="1">
      <c r="A2" s="33"/>
      <c r="D2" s="27"/>
      <c r="E2" s="27"/>
      <c r="F2" s="27"/>
      <c r="G2" s="27"/>
      <c r="H2" s="27"/>
      <c r="I2" s="27"/>
      <c r="J2" s="33"/>
      <c r="K2" s="33"/>
      <c r="L2" s="35"/>
      <c r="M2" s="33"/>
      <c r="N2" s="33"/>
      <c r="O2" s="33"/>
      <c r="P2" s="33"/>
      <c r="Q2" s="33"/>
      <c r="R2" s="33"/>
    </row>
    <row r="3" ht="3.75" customHeight="1">
      <c r="A3" s="33"/>
      <c r="B3" s="36"/>
      <c r="C3" s="27"/>
      <c r="D3" s="27"/>
      <c r="E3" s="27"/>
      <c r="F3" s="27"/>
      <c r="G3" s="27"/>
      <c r="H3" s="27"/>
      <c r="I3" s="27"/>
      <c r="J3" s="33"/>
      <c r="K3" s="33"/>
      <c r="L3" s="35"/>
      <c r="M3" s="33"/>
      <c r="N3" s="33"/>
      <c r="O3" s="33"/>
      <c r="P3" s="33"/>
      <c r="Q3" s="33"/>
      <c r="R3" s="33"/>
    </row>
    <row r="4" ht="33.0" customHeight="1">
      <c r="A4" s="33"/>
      <c r="B4" s="38"/>
      <c r="C4" s="40"/>
      <c r="D4" s="41" t="s">
        <v>46</v>
      </c>
      <c r="E4" s="44" t="s">
        <v>48</v>
      </c>
      <c r="F4" s="40"/>
      <c r="G4" s="41" t="s">
        <v>50</v>
      </c>
      <c r="H4" s="40"/>
      <c r="I4" s="46" t="s">
        <v>52</v>
      </c>
      <c r="J4" s="47"/>
      <c r="K4" s="47"/>
      <c r="L4" s="47"/>
      <c r="M4" s="47"/>
      <c r="N4" s="47"/>
      <c r="O4" s="47"/>
      <c r="P4" s="47"/>
      <c r="Q4" s="40"/>
      <c r="R4" s="33"/>
    </row>
    <row r="5" ht="33.0" customHeight="1">
      <c r="A5" s="33"/>
      <c r="B5" s="48" t="s">
        <v>42</v>
      </c>
      <c r="C5" s="48" t="s">
        <v>31</v>
      </c>
      <c r="D5" s="49" t="s">
        <v>58</v>
      </c>
      <c r="E5" s="48" t="s">
        <v>59</v>
      </c>
      <c r="F5" s="51" t="s">
        <v>60</v>
      </c>
      <c r="G5" s="51" t="s">
        <v>41</v>
      </c>
      <c r="H5" s="51" t="s">
        <v>43</v>
      </c>
      <c r="I5" s="51" t="s">
        <v>44</v>
      </c>
      <c r="J5" s="51" t="s">
        <v>62</v>
      </c>
      <c r="K5" s="48" t="s">
        <v>64</v>
      </c>
      <c r="L5" s="53" t="s">
        <v>65</v>
      </c>
      <c r="M5" s="55" t="s">
        <v>66</v>
      </c>
      <c r="N5" s="55" t="s">
        <v>68</v>
      </c>
      <c r="O5" s="55" t="s">
        <v>69</v>
      </c>
      <c r="P5" s="55" t="s">
        <v>70</v>
      </c>
      <c r="Q5" s="55" t="s">
        <v>71</v>
      </c>
      <c r="R5" s="33"/>
    </row>
    <row r="6" ht="12.75" customHeight="1">
      <c r="A6" s="30"/>
      <c r="B6" s="56" t="s">
        <v>72</v>
      </c>
      <c r="C6" s="57" t="s">
        <v>73</v>
      </c>
      <c r="D6" s="58" t="s">
        <v>74</v>
      </c>
      <c r="E6" s="59">
        <v>2.0</v>
      </c>
      <c r="F6" s="61">
        <f t="shared" ref="F6:F47" si="1">IF(OR(K6="4. SUDAH SPK", K6="5. SEDANG PENGERJAAN",K6="6. SELESAI PROYEK"), E6, 0)</f>
        <v>0</v>
      </c>
      <c r="G6" s="62">
        <v>0.0</v>
      </c>
      <c r="H6" s="64">
        <f t="shared" ref="H6:H47" si="2">F6-G6</f>
        <v>0</v>
      </c>
      <c r="I6" s="62">
        <v>0.0</v>
      </c>
      <c r="J6" s="66">
        <f t="shared" ref="J6:J47" si="3">IFERROR(I6/E6,"")</f>
        <v>0</v>
      </c>
      <c r="K6" s="67" t="s">
        <v>78</v>
      </c>
      <c r="L6" s="68"/>
      <c r="M6" s="68"/>
      <c r="N6" s="68"/>
      <c r="O6" s="69"/>
      <c r="P6" s="69"/>
      <c r="Q6" s="68"/>
      <c r="R6" s="30"/>
    </row>
    <row r="7" ht="12.75" customHeight="1">
      <c r="A7" s="30"/>
      <c r="B7" s="56" t="s">
        <v>72</v>
      </c>
      <c r="C7" s="57" t="s">
        <v>81</v>
      </c>
      <c r="D7" s="58" t="s">
        <v>74</v>
      </c>
      <c r="E7" s="59">
        <v>25.0</v>
      </c>
      <c r="F7" s="61">
        <f t="shared" si="1"/>
        <v>0</v>
      </c>
      <c r="G7" s="62">
        <v>0.0</v>
      </c>
      <c r="H7" s="64">
        <f t="shared" si="2"/>
        <v>0</v>
      </c>
      <c r="I7" s="62">
        <v>0.0</v>
      </c>
      <c r="J7" s="66">
        <f t="shared" si="3"/>
        <v>0</v>
      </c>
      <c r="K7" s="67" t="s">
        <v>78</v>
      </c>
      <c r="L7" s="71"/>
      <c r="M7" s="72"/>
      <c r="N7" s="68"/>
      <c r="O7" s="69"/>
      <c r="P7" s="69"/>
      <c r="Q7" s="68"/>
      <c r="R7" s="30"/>
    </row>
    <row r="8" ht="12.75" customHeight="1">
      <c r="A8" s="30"/>
      <c r="B8" s="73" t="s">
        <v>86</v>
      </c>
      <c r="C8" s="73" t="s">
        <v>87</v>
      </c>
      <c r="D8" s="74" t="s">
        <v>89</v>
      </c>
      <c r="E8" s="62">
        <v>7.0</v>
      </c>
      <c r="F8" s="61">
        <f t="shared" si="1"/>
        <v>0</v>
      </c>
      <c r="G8" s="62">
        <v>0.0</v>
      </c>
      <c r="H8" s="64">
        <f t="shared" si="2"/>
        <v>0</v>
      </c>
      <c r="I8" s="62">
        <v>0.0</v>
      </c>
      <c r="J8" s="66">
        <f t="shared" si="3"/>
        <v>0</v>
      </c>
      <c r="K8" s="67" t="s">
        <v>78</v>
      </c>
      <c r="L8" s="77"/>
      <c r="M8" s="68"/>
      <c r="N8" s="68"/>
      <c r="O8" s="69"/>
      <c r="P8" s="69"/>
      <c r="Q8" s="68"/>
      <c r="R8" s="30"/>
    </row>
    <row r="9" ht="12.75" customHeight="1">
      <c r="A9" s="30"/>
      <c r="B9" s="73" t="s">
        <v>86</v>
      </c>
      <c r="C9" s="73" t="s">
        <v>51</v>
      </c>
      <c r="D9" s="74" t="s">
        <v>89</v>
      </c>
      <c r="E9" s="62">
        <v>15.0</v>
      </c>
      <c r="F9" s="61">
        <f t="shared" si="1"/>
        <v>0</v>
      </c>
      <c r="G9" s="62">
        <v>0.0</v>
      </c>
      <c r="H9" s="64">
        <f t="shared" si="2"/>
        <v>0</v>
      </c>
      <c r="I9" s="62">
        <v>0.0</v>
      </c>
      <c r="J9" s="66">
        <f t="shared" si="3"/>
        <v>0</v>
      </c>
      <c r="K9" s="67" t="s">
        <v>78</v>
      </c>
      <c r="L9" s="77"/>
      <c r="M9" s="68"/>
      <c r="N9" s="68"/>
      <c r="O9" s="69"/>
      <c r="P9" s="69"/>
      <c r="Q9" s="68"/>
      <c r="R9" s="30"/>
    </row>
    <row r="10" ht="12.75" customHeight="1">
      <c r="A10" s="30"/>
      <c r="B10" s="79" t="s">
        <v>97</v>
      </c>
      <c r="C10" s="79" t="s">
        <v>81</v>
      </c>
      <c r="D10" s="74" t="s">
        <v>100</v>
      </c>
      <c r="E10" s="82">
        <v>71.0</v>
      </c>
      <c r="F10" s="61">
        <f t="shared" si="1"/>
        <v>0</v>
      </c>
      <c r="G10" s="62">
        <v>0.0</v>
      </c>
      <c r="H10" s="64">
        <f t="shared" si="2"/>
        <v>0</v>
      </c>
      <c r="I10" s="62">
        <v>0.0</v>
      </c>
      <c r="J10" s="66">
        <f t="shared" si="3"/>
        <v>0</v>
      </c>
      <c r="K10" s="67" t="s">
        <v>78</v>
      </c>
      <c r="L10" s="83"/>
      <c r="M10" s="83"/>
      <c r="N10" s="84"/>
      <c r="O10" s="85"/>
      <c r="P10" s="85"/>
      <c r="Q10" s="84"/>
      <c r="R10" s="30"/>
    </row>
    <row r="11" ht="12.75" customHeight="1">
      <c r="A11" s="30"/>
      <c r="B11" s="79" t="s">
        <v>97</v>
      </c>
      <c r="C11" s="86" t="s">
        <v>73</v>
      </c>
      <c r="D11" s="74" t="s">
        <v>100</v>
      </c>
      <c r="E11" s="87">
        <v>8.0</v>
      </c>
      <c r="F11" s="61">
        <f t="shared" si="1"/>
        <v>0</v>
      </c>
      <c r="G11" s="62">
        <v>0.0</v>
      </c>
      <c r="H11" s="64">
        <f t="shared" si="2"/>
        <v>0</v>
      </c>
      <c r="I11" s="62">
        <v>0.0</v>
      </c>
      <c r="J11" s="66">
        <f t="shared" si="3"/>
        <v>0</v>
      </c>
      <c r="K11" s="67" t="s">
        <v>78</v>
      </c>
      <c r="L11" s="88"/>
      <c r="M11" s="88"/>
      <c r="N11" s="88"/>
      <c r="O11" s="90"/>
      <c r="P11" s="90"/>
      <c r="Q11" s="88"/>
      <c r="R11" s="30"/>
    </row>
    <row r="12" ht="12.75" customHeight="1">
      <c r="A12" s="30"/>
      <c r="B12" s="57" t="s">
        <v>108</v>
      </c>
      <c r="C12" s="79" t="s">
        <v>109</v>
      </c>
      <c r="D12" s="74" t="s">
        <v>110</v>
      </c>
      <c r="E12" s="82">
        <v>21.0</v>
      </c>
      <c r="F12" s="61">
        <f t="shared" si="1"/>
        <v>0</v>
      </c>
      <c r="G12" s="62">
        <v>0.0</v>
      </c>
      <c r="H12" s="64">
        <f t="shared" si="2"/>
        <v>0</v>
      </c>
      <c r="I12" s="62">
        <v>0.0</v>
      </c>
      <c r="J12" s="66">
        <f t="shared" si="3"/>
        <v>0</v>
      </c>
      <c r="K12" s="67" t="s">
        <v>78</v>
      </c>
      <c r="L12" s="83"/>
      <c r="M12" s="83"/>
      <c r="N12" s="84"/>
      <c r="O12" s="85"/>
      <c r="P12" s="85"/>
      <c r="Q12" s="84"/>
      <c r="R12" s="30"/>
    </row>
    <row r="13" ht="12.75" customHeight="1">
      <c r="A13" s="30"/>
      <c r="B13" s="57" t="s">
        <v>108</v>
      </c>
      <c r="C13" s="86" t="s">
        <v>51</v>
      </c>
      <c r="D13" s="74" t="s">
        <v>110</v>
      </c>
      <c r="E13" s="87">
        <v>30.0</v>
      </c>
      <c r="F13" s="61">
        <f t="shared" si="1"/>
        <v>0</v>
      </c>
      <c r="G13" s="62">
        <v>0.0</v>
      </c>
      <c r="H13" s="64">
        <f t="shared" si="2"/>
        <v>0</v>
      </c>
      <c r="I13" s="62">
        <v>0.0</v>
      </c>
      <c r="J13" s="66">
        <f t="shared" si="3"/>
        <v>0</v>
      </c>
      <c r="K13" s="67" t="s">
        <v>78</v>
      </c>
      <c r="L13" s="88"/>
      <c r="M13" s="88"/>
      <c r="N13" s="88"/>
      <c r="O13" s="90"/>
      <c r="P13" s="90"/>
      <c r="Q13" s="88"/>
      <c r="R13" s="30"/>
    </row>
    <row r="14" ht="12.75" customHeight="1">
      <c r="A14" s="30"/>
      <c r="B14" s="57" t="s">
        <v>108</v>
      </c>
      <c r="C14" s="79" t="s">
        <v>95</v>
      </c>
      <c r="D14" s="91" t="s">
        <v>110</v>
      </c>
      <c r="E14" s="82">
        <v>6.0</v>
      </c>
      <c r="F14" s="61">
        <f t="shared" si="1"/>
        <v>0</v>
      </c>
      <c r="G14" s="62">
        <v>0.0</v>
      </c>
      <c r="H14" s="64">
        <f t="shared" si="2"/>
        <v>0</v>
      </c>
      <c r="I14" s="62">
        <v>0.0</v>
      </c>
      <c r="J14" s="66">
        <f t="shared" si="3"/>
        <v>0</v>
      </c>
      <c r="K14" s="67" t="s">
        <v>78</v>
      </c>
      <c r="L14" s="84"/>
      <c r="M14" s="84"/>
      <c r="N14" s="84"/>
      <c r="O14" s="85"/>
      <c r="P14" s="85"/>
      <c r="Q14" s="84"/>
      <c r="R14" s="30"/>
    </row>
    <row r="15" ht="12.75" customHeight="1">
      <c r="A15" s="30"/>
      <c r="B15" s="79" t="s">
        <v>117</v>
      </c>
      <c r="C15" s="79" t="s">
        <v>51</v>
      </c>
      <c r="D15" s="91" t="s">
        <v>119</v>
      </c>
      <c r="E15" s="82">
        <v>78.0</v>
      </c>
      <c r="F15" s="61">
        <f t="shared" si="1"/>
        <v>0</v>
      </c>
      <c r="G15" s="62">
        <v>0.0</v>
      </c>
      <c r="H15" s="64">
        <f t="shared" si="2"/>
        <v>0</v>
      </c>
      <c r="I15" s="62">
        <v>0.0</v>
      </c>
      <c r="J15" s="66">
        <f t="shared" si="3"/>
        <v>0</v>
      </c>
      <c r="K15" s="67" t="s">
        <v>78</v>
      </c>
      <c r="L15" s="84"/>
      <c r="M15" s="84"/>
      <c r="N15" s="84"/>
      <c r="O15" s="85"/>
      <c r="P15" s="85"/>
      <c r="Q15" s="84"/>
      <c r="R15" s="30"/>
    </row>
    <row r="16" ht="12.75" customHeight="1">
      <c r="A16" s="30"/>
      <c r="B16" s="57" t="s">
        <v>123</v>
      </c>
      <c r="C16" s="57" t="s">
        <v>124</v>
      </c>
      <c r="D16" s="58" t="s">
        <v>125</v>
      </c>
      <c r="E16" s="92">
        <v>1.0</v>
      </c>
      <c r="F16" s="61">
        <f t="shared" si="1"/>
        <v>1</v>
      </c>
      <c r="G16" s="93">
        <v>0.0</v>
      </c>
      <c r="H16" s="64">
        <f t="shared" si="2"/>
        <v>1</v>
      </c>
      <c r="I16" s="93">
        <v>1.0</v>
      </c>
      <c r="J16" s="66">
        <f t="shared" si="3"/>
        <v>1</v>
      </c>
      <c r="K16" s="94" t="s">
        <v>127</v>
      </c>
      <c r="L16" s="95" t="s">
        <v>128</v>
      </c>
      <c r="M16" s="96">
        <v>46252.0</v>
      </c>
      <c r="N16" s="96">
        <v>46342.0</v>
      </c>
      <c r="O16" s="69">
        <v>57.66</v>
      </c>
      <c r="P16" s="69">
        <v>42.12</v>
      </c>
      <c r="Q16" s="96"/>
      <c r="R16" s="30"/>
    </row>
    <row r="17" ht="12.75" customHeight="1">
      <c r="A17" s="30"/>
      <c r="B17" s="57" t="s">
        <v>123</v>
      </c>
      <c r="C17" s="57" t="s">
        <v>132</v>
      </c>
      <c r="D17" s="58" t="s">
        <v>125</v>
      </c>
      <c r="E17" s="92">
        <v>1.0</v>
      </c>
      <c r="F17" s="61">
        <f t="shared" si="1"/>
        <v>1</v>
      </c>
      <c r="G17" s="93">
        <v>0.0</v>
      </c>
      <c r="H17" s="61">
        <f t="shared" si="2"/>
        <v>1</v>
      </c>
      <c r="I17" s="93">
        <v>1.0</v>
      </c>
      <c r="J17" s="66">
        <f t="shared" si="3"/>
        <v>1</v>
      </c>
      <c r="K17" s="94" t="s">
        <v>127</v>
      </c>
      <c r="L17" s="95" t="s">
        <v>128</v>
      </c>
      <c r="M17" s="96">
        <v>46252.0</v>
      </c>
      <c r="N17" s="96">
        <v>46342.0</v>
      </c>
      <c r="O17" s="69">
        <v>57.66</v>
      </c>
      <c r="P17" s="69">
        <v>42.12</v>
      </c>
      <c r="Q17" s="96"/>
      <c r="R17" s="30"/>
    </row>
    <row r="18" ht="12.75" customHeight="1">
      <c r="A18" s="30"/>
      <c r="B18" s="57" t="s">
        <v>123</v>
      </c>
      <c r="C18" s="57" t="s">
        <v>136</v>
      </c>
      <c r="D18" s="58" t="s">
        <v>125</v>
      </c>
      <c r="E18" s="92">
        <v>2.0</v>
      </c>
      <c r="F18" s="61">
        <f t="shared" si="1"/>
        <v>2</v>
      </c>
      <c r="G18" s="93">
        <v>0.0</v>
      </c>
      <c r="H18" s="61">
        <f t="shared" si="2"/>
        <v>2</v>
      </c>
      <c r="I18" s="98">
        <v>0.0</v>
      </c>
      <c r="J18" s="66">
        <f t="shared" si="3"/>
        <v>0</v>
      </c>
      <c r="K18" s="94" t="s">
        <v>127</v>
      </c>
      <c r="L18" s="95" t="s">
        <v>128</v>
      </c>
      <c r="M18" s="96">
        <v>46252.0</v>
      </c>
      <c r="N18" s="96">
        <v>46342.0</v>
      </c>
      <c r="O18" s="69">
        <v>57.66</v>
      </c>
      <c r="P18" s="69">
        <v>42.12</v>
      </c>
      <c r="Q18" s="96"/>
      <c r="R18" s="30"/>
    </row>
    <row r="19" ht="12.75" customHeight="1">
      <c r="A19" s="30"/>
      <c r="B19" s="57" t="s">
        <v>123</v>
      </c>
      <c r="C19" s="57" t="s">
        <v>139</v>
      </c>
      <c r="D19" s="58" t="s">
        <v>125</v>
      </c>
      <c r="E19" s="92">
        <v>1.0</v>
      </c>
      <c r="F19" s="61">
        <f t="shared" si="1"/>
        <v>1</v>
      </c>
      <c r="G19" s="93">
        <v>1.0</v>
      </c>
      <c r="H19" s="61">
        <f t="shared" si="2"/>
        <v>0</v>
      </c>
      <c r="I19" s="93">
        <v>1.0</v>
      </c>
      <c r="J19" s="66">
        <f t="shared" si="3"/>
        <v>1</v>
      </c>
      <c r="K19" s="94" t="s">
        <v>127</v>
      </c>
      <c r="L19" s="95" t="s">
        <v>128</v>
      </c>
      <c r="M19" s="96">
        <v>46252.0</v>
      </c>
      <c r="N19" s="96">
        <v>46342.0</v>
      </c>
      <c r="O19" s="69">
        <v>57.66</v>
      </c>
      <c r="P19" s="69">
        <v>42.12</v>
      </c>
      <c r="Q19" s="96"/>
      <c r="R19" s="30"/>
    </row>
    <row r="20" ht="12.75" customHeight="1">
      <c r="A20" s="30"/>
      <c r="B20" s="57" t="s">
        <v>123</v>
      </c>
      <c r="C20" s="57" t="s">
        <v>87</v>
      </c>
      <c r="D20" s="58" t="s">
        <v>125</v>
      </c>
      <c r="E20" s="59">
        <v>11.0</v>
      </c>
      <c r="F20" s="61">
        <f t="shared" si="1"/>
        <v>11</v>
      </c>
      <c r="G20" s="93">
        <v>0.0</v>
      </c>
      <c r="H20" s="61">
        <f t="shared" si="2"/>
        <v>11</v>
      </c>
      <c r="I20" s="93">
        <v>3.0</v>
      </c>
      <c r="J20" s="66">
        <f t="shared" si="3"/>
        <v>0.2727272727</v>
      </c>
      <c r="K20" s="94" t="s">
        <v>127</v>
      </c>
      <c r="L20" s="95" t="s">
        <v>128</v>
      </c>
      <c r="M20" s="96">
        <v>46252.0</v>
      </c>
      <c r="N20" s="96">
        <v>46342.0</v>
      </c>
      <c r="O20" s="69">
        <v>57.66</v>
      </c>
      <c r="P20" s="69">
        <v>42.12</v>
      </c>
      <c r="Q20" s="96"/>
      <c r="R20" s="30"/>
    </row>
    <row r="21" ht="12.75" customHeight="1">
      <c r="A21" s="30"/>
      <c r="B21" s="57" t="s">
        <v>123</v>
      </c>
      <c r="C21" s="57" t="s">
        <v>51</v>
      </c>
      <c r="D21" s="58" t="s">
        <v>125</v>
      </c>
      <c r="E21" s="59">
        <v>6.0</v>
      </c>
      <c r="F21" s="61">
        <f t="shared" si="1"/>
        <v>6</v>
      </c>
      <c r="G21" s="93">
        <v>0.0</v>
      </c>
      <c r="H21" s="64">
        <f t="shared" si="2"/>
        <v>6</v>
      </c>
      <c r="I21" s="93">
        <v>6.0</v>
      </c>
      <c r="J21" s="66">
        <f t="shared" si="3"/>
        <v>1</v>
      </c>
      <c r="K21" s="94" t="s">
        <v>127</v>
      </c>
      <c r="L21" s="95" t="s">
        <v>128</v>
      </c>
      <c r="M21" s="96">
        <v>46252.0</v>
      </c>
      <c r="N21" s="96">
        <v>46342.0</v>
      </c>
      <c r="O21" s="69">
        <v>57.66</v>
      </c>
      <c r="P21" s="69">
        <v>42.12</v>
      </c>
      <c r="Q21" s="96"/>
      <c r="R21" s="30"/>
    </row>
    <row r="22" ht="12.75" customHeight="1">
      <c r="A22" s="30"/>
      <c r="B22" s="57" t="s">
        <v>148</v>
      </c>
      <c r="C22" s="57" t="s">
        <v>51</v>
      </c>
      <c r="D22" s="58" t="s">
        <v>149</v>
      </c>
      <c r="E22" s="59">
        <v>53.0</v>
      </c>
      <c r="F22" s="61">
        <f t="shared" si="1"/>
        <v>53</v>
      </c>
      <c r="G22" s="93">
        <v>0.0</v>
      </c>
      <c r="H22" s="64">
        <f t="shared" si="2"/>
        <v>53</v>
      </c>
      <c r="I22" s="93">
        <v>9.0</v>
      </c>
      <c r="J22" s="66">
        <f t="shared" si="3"/>
        <v>0.1698113208</v>
      </c>
      <c r="K22" s="94" t="s">
        <v>127</v>
      </c>
      <c r="L22" s="95" t="s">
        <v>150</v>
      </c>
      <c r="M22" s="96">
        <v>46266.0</v>
      </c>
      <c r="N22" s="96">
        <v>46386.0</v>
      </c>
      <c r="O22" s="69">
        <v>1.111</v>
      </c>
      <c r="P22" s="69">
        <v>0.2953</v>
      </c>
      <c r="Q22" s="96"/>
      <c r="R22" s="30"/>
    </row>
    <row r="23" ht="12.75" customHeight="1">
      <c r="A23" s="30"/>
      <c r="B23" s="57" t="s">
        <v>152</v>
      </c>
      <c r="C23" s="57" t="s">
        <v>51</v>
      </c>
      <c r="D23" s="58" t="s">
        <v>153</v>
      </c>
      <c r="E23" s="59">
        <v>27.0</v>
      </c>
      <c r="F23" s="61">
        <f t="shared" si="1"/>
        <v>27</v>
      </c>
      <c r="G23" s="93">
        <v>0.0</v>
      </c>
      <c r="H23" s="64">
        <f t="shared" si="2"/>
        <v>27</v>
      </c>
      <c r="I23" s="98">
        <v>0.0</v>
      </c>
      <c r="J23" s="66">
        <f t="shared" si="3"/>
        <v>0</v>
      </c>
      <c r="K23" s="94" t="s">
        <v>127</v>
      </c>
      <c r="L23" s="95" t="s">
        <v>150</v>
      </c>
      <c r="M23" s="96">
        <v>46266.0</v>
      </c>
      <c r="N23" s="96">
        <v>46386.0</v>
      </c>
      <c r="O23" s="69">
        <v>1.111</v>
      </c>
      <c r="P23" s="69">
        <v>0.2953</v>
      </c>
      <c r="Q23" s="96"/>
      <c r="R23" s="30"/>
    </row>
    <row r="24" ht="12.75" customHeight="1">
      <c r="A24" s="30"/>
      <c r="B24" s="57" t="s">
        <v>156</v>
      </c>
      <c r="C24" s="57" t="s">
        <v>81</v>
      </c>
      <c r="D24" s="58" t="s">
        <v>157</v>
      </c>
      <c r="E24" s="93">
        <v>206.0</v>
      </c>
      <c r="F24" s="61">
        <f t="shared" si="1"/>
        <v>206</v>
      </c>
      <c r="G24" s="93">
        <v>0.0</v>
      </c>
      <c r="H24" s="61">
        <f t="shared" si="2"/>
        <v>206</v>
      </c>
      <c r="I24" s="98">
        <v>0.0</v>
      </c>
      <c r="J24" s="66">
        <f t="shared" si="3"/>
        <v>0</v>
      </c>
      <c r="K24" s="94" t="s">
        <v>127</v>
      </c>
      <c r="L24" s="95" t="s">
        <v>150</v>
      </c>
      <c r="M24" s="96">
        <v>46252.0</v>
      </c>
      <c r="N24" s="96">
        <v>46417.0</v>
      </c>
      <c r="O24" s="69">
        <v>0.0</v>
      </c>
      <c r="P24" s="69">
        <v>3.64</v>
      </c>
      <c r="Q24" s="96"/>
      <c r="R24" s="30"/>
    </row>
    <row r="25" ht="12.75" customHeight="1">
      <c r="A25" s="30"/>
      <c r="B25" s="57" t="s">
        <v>61</v>
      </c>
      <c r="C25" s="57" t="s">
        <v>81</v>
      </c>
      <c r="D25" s="101"/>
      <c r="E25" s="92">
        <v>177.0</v>
      </c>
      <c r="F25" s="61">
        <f t="shared" si="1"/>
        <v>177</v>
      </c>
      <c r="G25" s="93">
        <v>42.0</v>
      </c>
      <c r="H25" s="61">
        <f t="shared" si="2"/>
        <v>135</v>
      </c>
      <c r="I25" s="93">
        <v>174.0</v>
      </c>
      <c r="J25" s="66">
        <f t="shared" si="3"/>
        <v>0.9830508475</v>
      </c>
      <c r="K25" s="94" t="s">
        <v>127</v>
      </c>
      <c r="L25" s="95" t="s">
        <v>164</v>
      </c>
      <c r="M25" s="96">
        <v>46198.0</v>
      </c>
      <c r="N25" s="96">
        <v>46318.0</v>
      </c>
      <c r="O25" s="69">
        <v>56.608</v>
      </c>
      <c r="P25" s="69">
        <v>-23.064</v>
      </c>
      <c r="Q25" s="73"/>
      <c r="R25" s="30"/>
    </row>
    <row r="26" ht="12.75" customHeight="1">
      <c r="A26" s="30"/>
      <c r="B26" s="56" t="s">
        <v>72</v>
      </c>
      <c r="C26" s="56" t="s">
        <v>109</v>
      </c>
      <c r="D26" s="102" t="s">
        <v>167</v>
      </c>
      <c r="E26" s="59">
        <v>10.0</v>
      </c>
      <c r="F26" s="61">
        <f t="shared" si="1"/>
        <v>10</v>
      </c>
      <c r="G26" s="93">
        <v>10.0</v>
      </c>
      <c r="H26" s="64">
        <f t="shared" si="2"/>
        <v>0</v>
      </c>
      <c r="I26" s="98">
        <v>7.0</v>
      </c>
      <c r="J26" s="66">
        <f t="shared" si="3"/>
        <v>0.7</v>
      </c>
      <c r="K26" s="94" t="s">
        <v>127</v>
      </c>
      <c r="L26" s="95" t="s">
        <v>150</v>
      </c>
      <c r="M26" s="96">
        <v>46093.0</v>
      </c>
      <c r="N26" s="96">
        <v>46182.0</v>
      </c>
      <c r="O26" s="69">
        <v>96.94</v>
      </c>
      <c r="P26" s="69">
        <v>-2.91</v>
      </c>
      <c r="Q26" s="73"/>
      <c r="R26" s="30"/>
    </row>
    <row r="27" ht="12.75" customHeight="1">
      <c r="A27" s="30"/>
      <c r="B27" s="56" t="s">
        <v>72</v>
      </c>
      <c r="C27" s="56" t="s">
        <v>87</v>
      </c>
      <c r="D27" s="102" t="s">
        <v>167</v>
      </c>
      <c r="E27" s="59">
        <v>15.0</v>
      </c>
      <c r="F27" s="61">
        <f t="shared" si="1"/>
        <v>15</v>
      </c>
      <c r="G27" s="93">
        <v>12.0</v>
      </c>
      <c r="H27" s="61">
        <f t="shared" si="2"/>
        <v>3</v>
      </c>
      <c r="I27" s="98">
        <v>12.0</v>
      </c>
      <c r="J27" s="66">
        <f t="shared" si="3"/>
        <v>0.8</v>
      </c>
      <c r="K27" s="94" t="s">
        <v>127</v>
      </c>
      <c r="L27" s="95" t="s">
        <v>150</v>
      </c>
      <c r="M27" s="96">
        <v>46093.0</v>
      </c>
      <c r="N27" s="96">
        <v>46182.0</v>
      </c>
      <c r="O27" s="69">
        <v>96.94</v>
      </c>
      <c r="P27" s="69">
        <v>-2.91</v>
      </c>
      <c r="Q27" s="73"/>
      <c r="R27" s="30"/>
    </row>
    <row r="28" ht="12.75" customHeight="1">
      <c r="A28" s="30"/>
      <c r="B28" s="56" t="s">
        <v>72</v>
      </c>
      <c r="C28" s="56" t="s">
        <v>177</v>
      </c>
      <c r="D28" s="102" t="s">
        <v>167</v>
      </c>
      <c r="E28" s="92">
        <v>5.0</v>
      </c>
      <c r="F28" s="61">
        <f t="shared" si="1"/>
        <v>5</v>
      </c>
      <c r="G28" s="93">
        <v>5.0</v>
      </c>
      <c r="H28" s="61">
        <f t="shared" si="2"/>
        <v>0</v>
      </c>
      <c r="I28" s="98">
        <v>4.0</v>
      </c>
      <c r="J28" s="66">
        <f t="shared" si="3"/>
        <v>0.8</v>
      </c>
      <c r="K28" s="94" t="s">
        <v>127</v>
      </c>
      <c r="L28" s="95" t="s">
        <v>150</v>
      </c>
      <c r="M28" s="96">
        <v>46093.0</v>
      </c>
      <c r="N28" s="96">
        <v>46182.0</v>
      </c>
      <c r="O28" s="69">
        <v>96.94</v>
      </c>
      <c r="P28" s="69">
        <v>-2.91</v>
      </c>
      <c r="Q28" s="73"/>
      <c r="R28" s="30"/>
    </row>
    <row r="29" ht="12.75" customHeight="1">
      <c r="A29" s="30"/>
      <c r="B29" s="57" t="s">
        <v>178</v>
      </c>
      <c r="C29" s="57" t="s">
        <v>73</v>
      </c>
      <c r="D29" s="58" t="s">
        <v>179</v>
      </c>
      <c r="E29" s="59">
        <v>3.0</v>
      </c>
      <c r="F29" s="61">
        <f t="shared" si="1"/>
        <v>3</v>
      </c>
      <c r="G29" s="93">
        <v>2.0</v>
      </c>
      <c r="H29" s="61">
        <f t="shared" si="2"/>
        <v>1</v>
      </c>
      <c r="I29" s="98">
        <v>3.0</v>
      </c>
      <c r="J29" s="66">
        <f t="shared" si="3"/>
        <v>1</v>
      </c>
      <c r="K29" s="94" t="s">
        <v>127</v>
      </c>
      <c r="L29" s="95" t="s">
        <v>180</v>
      </c>
      <c r="M29" s="96">
        <v>46176.0</v>
      </c>
      <c r="N29" s="96">
        <v>46296.0</v>
      </c>
      <c r="O29" s="69">
        <v>86.96</v>
      </c>
      <c r="P29" s="69">
        <v>-9.96</v>
      </c>
      <c r="Q29" s="73"/>
      <c r="R29" s="30"/>
    </row>
    <row r="30" ht="12.75" customHeight="1">
      <c r="A30" s="30"/>
      <c r="B30" s="57" t="s">
        <v>178</v>
      </c>
      <c r="C30" s="57" t="s">
        <v>81</v>
      </c>
      <c r="D30" s="58" t="s">
        <v>179</v>
      </c>
      <c r="E30" s="59">
        <v>52.0</v>
      </c>
      <c r="F30" s="61">
        <f t="shared" si="1"/>
        <v>52</v>
      </c>
      <c r="G30" s="93">
        <v>43.0</v>
      </c>
      <c r="H30" s="61">
        <f t="shared" si="2"/>
        <v>9</v>
      </c>
      <c r="I30" s="93">
        <v>52.0</v>
      </c>
      <c r="J30" s="66">
        <f t="shared" si="3"/>
        <v>1</v>
      </c>
      <c r="K30" s="94" t="s">
        <v>127</v>
      </c>
      <c r="L30" s="95" t="s">
        <v>180</v>
      </c>
      <c r="M30" s="96">
        <v>46176.0</v>
      </c>
      <c r="N30" s="96">
        <v>46296.0</v>
      </c>
      <c r="O30" s="107">
        <v>86.96</v>
      </c>
      <c r="P30" s="108">
        <v>-9.96</v>
      </c>
      <c r="Q30" s="73"/>
      <c r="R30" s="30"/>
    </row>
    <row r="31" ht="12.75" customHeight="1">
      <c r="A31" s="30"/>
      <c r="B31" s="57" t="s">
        <v>178</v>
      </c>
      <c r="C31" s="57" t="s">
        <v>169</v>
      </c>
      <c r="D31" s="58" t="s">
        <v>179</v>
      </c>
      <c r="E31" s="92">
        <v>20.0</v>
      </c>
      <c r="F31" s="61">
        <f t="shared" si="1"/>
        <v>20</v>
      </c>
      <c r="G31" s="93">
        <v>2.0</v>
      </c>
      <c r="H31" s="61">
        <f t="shared" si="2"/>
        <v>18</v>
      </c>
      <c r="I31" s="98">
        <v>20.0</v>
      </c>
      <c r="J31" s="66">
        <f t="shared" si="3"/>
        <v>1</v>
      </c>
      <c r="K31" s="94" t="s">
        <v>127</v>
      </c>
      <c r="L31" s="95" t="s">
        <v>180</v>
      </c>
      <c r="M31" s="96">
        <v>46176.0</v>
      </c>
      <c r="N31" s="96">
        <v>46296.0</v>
      </c>
      <c r="O31" s="107">
        <v>86.96</v>
      </c>
      <c r="P31" s="108">
        <v>-9.96</v>
      </c>
      <c r="Q31" s="73"/>
      <c r="R31" s="30"/>
    </row>
    <row r="32" ht="12.75" customHeight="1">
      <c r="A32" s="30"/>
      <c r="B32" s="57" t="s">
        <v>181</v>
      </c>
      <c r="C32" s="57" t="s">
        <v>81</v>
      </c>
      <c r="D32" s="58" t="s">
        <v>182</v>
      </c>
      <c r="E32" s="59">
        <v>233.0</v>
      </c>
      <c r="F32" s="61">
        <f t="shared" si="1"/>
        <v>233</v>
      </c>
      <c r="G32" s="93">
        <v>127.0</v>
      </c>
      <c r="H32" s="61">
        <f t="shared" si="2"/>
        <v>106</v>
      </c>
      <c r="I32" s="93">
        <v>233.0</v>
      </c>
      <c r="J32" s="66">
        <f t="shared" si="3"/>
        <v>1</v>
      </c>
      <c r="K32" s="94" t="s">
        <v>127</v>
      </c>
      <c r="L32" s="95" t="s">
        <v>150</v>
      </c>
      <c r="M32" s="96">
        <v>46113.0</v>
      </c>
      <c r="N32" s="96">
        <v>46203.0</v>
      </c>
      <c r="O32" s="69">
        <v>73.748</v>
      </c>
      <c r="P32" s="69">
        <v>-26.251</v>
      </c>
      <c r="Q32" s="73"/>
      <c r="R32" s="30"/>
    </row>
    <row r="33" ht="12.75" customHeight="1">
      <c r="A33" s="30"/>
      <c r="B33" s="57" t="s">
        <v>183</v>
      </c>
      <c r="C33" s="57" t="s">
        <v>81</v>
      </c>
      <c r="D33" s="58" t="s">
        <v>184</v>
      </c>
      <c r="E33" s="59">
        <v>112.0</v>
      </c>
      <c r="F33" s="61">
        <f t="shared" si="1"/>
        <v>112</v>
      </c>
      <c r="G33" s="93">
        <v>78.0</v>
      </c>
      <c r="H33" s="61">
        <f t="shared" si="2"/>
        <v>34</v>
      </c>
      <c r="I33" s="98">
        <v>112.0</v>
      </c>
      <c r="J33" s="66">
        <f t="shared" si="3"/>
        <v>1</v>
      </c>
      <c r="K33" s="94" t="s">
        <v>127</v>
      </c>
      <c r="L33" s="95" t="s">
        <v>186</v>
      </c>
      <c r="M33" s="96">
        <v>46078.0</v>
      </c>
      <c r="N33" s="96">
        <v>46198.0</v>
      </c>
      <c r="O33" s="69">
        <v>92.74</v>
      </c>
      <c r="P33" s="69">
        <v>-7.261</v>
      </c>
      <c r="Q33" s="73"/>
      <c r="R33" s="30"/>
    </row>
    <row r="34" ht="12.75" customHeight="1">
      <c r="A34" s="30"/>
      <c r="B34" s="57" t="s">
        <v>188</v>
      </c>
      <c r="C34" s="57" t="s">
        <v>81</v>
      </c>
      <c r="D34" s="58" t="s">
        <v>182</v>
      </c>
      <c r="E34" s="59">
        <v>165.0</v>
      </c>
      <c r="F34" s="61">
        <f t="shared" si="1"/>
        <v>165</v>
      </c>
      <c r="G34" s="93">
        <v>92.0</v>
      </c>
      <c r="H34" s="61">
        <f t="shared" si="2"/>
        <v>73</v>
      </c>
      <c r="I34" s="93">
        <v>165.0</v>
      </c>
      <c r="J34" s="66">
        <f t="shared" si="3"/>
        <v>1</v>
      </c>
      <c r="K34" s="94" t="s">
        <v>127</v>
      </c>
      <c r="L34" s="95" t="s">
        <v>150</v>
      </c>
      <c r="M34" s="96">
        <v>46113.0</v>
      </c>
      <c r="N34" s="96">
        <v>46203.0</v>
      </c>
      <c r="O34" s="69">
        <v>73.748</v>
      </c>
      <c r="P34" s="69">
        <v>-26.251</v>
      </c>
      <c r="Q34" s="73"/>
      <c r="R34" s="30"/>
    </row>
    <row r="35" ht="12.75" customHeight="1">
      <c r="A35" s="30"/>
      <c r="B35" s="56" t="s">
        <v>141</v>
      </c>
      <c r="C35" s="57" t="s">
        <v>51</v>
      </c>
      <c r="D35" s="113"/>
      <c r="E35" s="59">
        <v>17.0</v>
      </c>
      <c r="F35" s="61">
        <f t="shared" si="1"/>
        <v>17</v>
      </c>
      <c r="G35" s="93">
        <v>17.0</v>
      </c>
      <c r="H35" s="64">
        <f t="shared" si="2"/>
        <v>0</v>
      </c>
      <c r="I35" s="98">
        <v>17.0</v>
      </c>
      <c r="J35" s="66">
        <f t="shared" si="3"/>
        <v>1</v>
      </c>
      <c r="K35" s="94" t="s">
        <v>127</v>
      </c>
      <c r="L35" s="95" t="s">
        <v>189</v>
      </c>
      <c r="M35" s="96">
        <v>46176.0</v>
      </c>
      <c r="N35" s="96">
        <v>46296.0</v>
      </c>
      <c r="O35" s="69">
        <v>82.04</v>
      </c>
      <c r="P35" s="69">
        <v>-5.15</v>
      </c>
      <c r="Q35" s="73"/>
      <c r="R35" s="30"/>
    </row>
    <row r="36" ht="12.75" customHeight="1">
      <c r="A36" s="30"/>
      <c r="B36" s="56" t="s">
        <v>141</v>
      </c>
      <c r="C36" s="57" t="s">
        <v>73</v>
      </c>
      <c r="D36" s="113"/>
      <c r="E36" s="59">
        <v>2.0</v>
      </c>
      <c r="F36" s="61">
        <f t="shared" si="1"/>
        <v>2</v>
      </c>
      <c r="G36" s="93">
        <v>1.0</v>
      </c>
      <c r="H36" s="61">
        <f t="shared" si="2"/>
        <v>1</v>
      </c>
      <c r="I36" s="98">
        <v>1.0</v>
      </c>
      <c r="J36" s="66">
        <f t="shared" si="3"/>
        <v>0.5</v>
      </c>
      <c r="K36" s="94" t="s">
        <v>127</v>
      </c>
      <c r="L36" s="95" t="s">
        <v>180</v>
      </c>
      <c r="M36" s="96">
        <v>46176.0</v>
      </c>
      <c r="N36" s="96">
        <v>46296.0</v>
      </c>
      <c r="O36" s="69">
        <v>78.9</v>
      </c>
      <c r="P36" s="69">
        <v>-15.17</v>
      </c>
      <c r="Q36" s="73"/>
      <c r="R36" s="30"/>
    </row>
    <row r="37" ht="12.75" customHeight="1">
      <c r="A37" s="30"/>
      <c r="B37" s="56" t="s">
        <v>141</v>
      </c>
      <c r="C37" s="56" t="s">
        <v>109</v>
      </c>
      <c r="D37" s="113"/>
      <c r="E37" s="92">
        <v>8.0</v>
      </c>
      <c r="F37" s="61">
        <f t="shared" si="1"/>
        <v>8</v>
      </c>
      <c r="G37" s="93">
        <v>4.0</v>
      </c>
      <c r="H37" s="64">
        <f t="shared" si="2"/>
        <v>4</v>
      </c>
      <c r="I37" s="98">
        <v>8.0</v>
      </c>
      <c r="J37" s="66">
        <f t="shared" si="3"/>
        <v>1</v>
      </c>
      <c r="K37" s="94" t="s">
        <v>127</v>
      </c>
      <c r="L37" s="95" t="s">
        <v>189</v>
      </c>
      <c r="M37" s="96">
        <v>46176.0</v>
      </c>
      <c r="N37" s="96">
        <v>46296.0</v>
      </c>
      <c r="O37" s="69">
        <v>82.04</v>
      </c>
      <c r="P37" s="69">
        <v>-5.15</v>
      </c>
      <c r="Q37" s="73"/>
      <c r="R37" s="30"/>
    </row>
    <row r="38" ht="12.75" customHeight="1">
      <c r="A38" s="30"/>
      <c r="B38" s="56" t="s">
        <v>141</v>
      </c>
      <c r="C38" s="56" t="s">
        <v>134</v>
      </c>
      <c r="D38" s="113"/>
      <c r="E38" s="92">
        <v>4.0</v>
      </c>
      <c r="F38" s="61">
        <f t="shared" si="1"/>
        <v>4</v>
      </c>
      <c r="G38" s="93">
        <v>4.0</v>
      </c>
      <c r="H38" s="64">
        <f t="shared" si="2"/>
        <v>0</v>
      </c>
      <c r="I38" s="98">
        <v>4.0</v>
      </c>
      <c r="J38" s="66">
        <f t="shared" si="3"/>
        <v>1</v>
      </c>
      <c r="K38" s="94" t="s">
        <v>127</v>
      </c>
      <c r="L38" s="95" t="s">
        <v>189</v>
      </c>
      <c r="M38" s="96">
        <v>46176.0</v>
      </c>
      <c r="N38" s="96">
        <v>46296.0</v>
      </c>
      <c r="O38" s="69">
        <v>82.04</v>
      </c>
      <c r="P38" s="69">
        <v>-5.15</v>
      </c>
      <c r="Q38" s="73"/>
      <c r="R38" s="30"/>
    </row>
    <row r="39" ht="12.75" customHeight="1">
      <c r="A39" s="30"/>
      <c r="B39" s="56" t="s">
        <v>141</v>
      </c>
      <c r="C39" s="57" t="s">
        <v>81</v>
      </c>
      <c r="D39" s="113"/>
      <c r="E39" s="59">
        <v>47.0</v>
      </c>
      <c r="F39" s="61">
        <f t="shared" si="1"/>
        <v>47</v>
      </c>
      <c r="G39" s="93">
        <v>47.0</v>
      </c>
      <c r="H39" s="61">
        <f t="shared" si="2"/>
        <v>0</v>
      </c>
      <c r="I39" s="98">
        <v>47.0</v>
      </c>
      <c r="J39" s="66">
        <f t="shared" si="3"/>
        <v>1</v>
      </c>
      <c r="K39" s="94" t="s">
        <v>127</v>
      </c>
      <c r="L39" s="95" t="s">
        <v>180</v>
      </c>
      <c r="M39" s="96">
        <v>46176.0</v>
      </c>
      <c r="N39" s="96">
        <v>46296.0</v>
      </c>
      <c r="O39" s="69">
        <v>78.9</v>
      </c>
      <c r="P39" s="69">
        <v>-15.17</v>
      </c>
      <c r="Q39" s="73"/>
      <c r="R39" s="30"/>
    </row>
    <row r="40" ht="12.75" customHeight="1">
      <c r="A40" s="30"/>
      <c r="B40" s="56" t="s">
        <v>190</v>
      </c>
      <c r="C40" s="57" t="s">
        <v>73</v>
      </c>
      <c r="D40" s="58" t="s">
        <v>191</v>
      </c>
      <c r="E40" s="92">
        <v>10.0</v>
      </c>
      <c r="F40" s="61">
        <f t="shared" si="1"/>
        <v>10</v>
      </c>
      <c r="G40" s="93">
        <v>0.0</v>
      </c>
      <c r="H40" s="61">
        <f t="shared" si="2"/>
        <v>10</v>
      </c>
      <c r="I40" s="93">
        <v>8.0</v>
      </c>
      <c r="J40" s="66">
        <f t="shared" si="3"/>
        <v>0.8</v>
      </c>
      <c r="K40" s="94" t="s">
        <v>127</v>
      </c>
      <c r="L40" s="95" t="s">
        <v>164</v>
      </c>
      <c r="M40" s="96">
        <v>46235.0</v>
      </c>
      <c r="N40" s="119">
        <v>46340.0</v>
      </c>
      <c r="O40" s="69">
        <v>34.5</v>
      </c>
      <c r="P40" s="69">
        <v>-0.42</v>
      </c>
      <c r="Q40" s="73"/>
      <c r="R40" s="30"/>
    </row>
    <row r="41" ht="12.75" customHeight="1">
      <c r="A41" s="30"/>
      <c r="B41" s="56" t="s">
        <v>190</v>
      </c>
      <c r="C41" s="57" t="s">
        <v>81</v>
      </c>
      <c r="D41" s="58" t="s">
        <v>191</v>
      </c>
      <c r="E41" s="59">
        <v>155.0</v>
      </c>
      <c r="F41" s="61">
        <f t="shared" si="1"/>
        <v>155</v>
      </c>
      <c r="G41" s="93">
        <v>0.0</v>
      </c>
      <c r="H41" s="61">
        <f t="shared" si="2"/>
        <v>155</v>
      </c>
      <c r="I41" s="93">
        <v>144.0</v>
      </c>
      <c r="J41" s="66">
        <f t="shared" si="3"/>
        <v>0.9290322581</v>
      </c>
      <c r="K41" s="94" t="s">
        <v>127</v>
      </c>
      <c r="L41" s="95" t="s">
        <v>164</v>
      </c>
      <c r="M41" s="96">
        <v>46235.0</v>
      </c>
      <c r="N41" s="119">
        <v>46340.0</v>
      </c>
      <c r="O41" s="69">
        <v>34.5</v>
      </c>
      <c r="P41" s="69">
        <v>-0.42</v>
      </c>
      <c r="Q41" s="73"/>
      <c r="R41" s="30"/>
    </row>
    <row r="42" ht="12.75" customHeight="1">
      <c r="A42" s="120"/>
      <c r="B42" s="56" t="s">
        <v>192</v>
      </c>
      <c r="C42" s="57" t="s">
        <v>73</v>
      </c>
      <c r="D42" s="58" t="s">
        <v>193</v>
      </c>
      <c r="E42" s="59">
        <v>10.0</v>
      </c>
      <c r="F42" s="61">
        <f t="shared" si="1"/>
        <v>10</v>
      </c>
      <c r="G42" s="93">
        <v>7.0</v>
      </c>
      <c r="H42" s="61">
        <f t="shared" si="2"/>
        <v>3</v>
      </c>
      <c r="I42" s="93">
        <v>10.0</v>
      </c>
      <c r="J42" s="66">
        <f t="shared" si="3"/>
        <v>1</v>
      </c>
      <c r="K42" s="94" t="s">
        <v>127</v>
      </c>
      <c r="L42" s="95" t="s">
        <v>189</v>
      </c>
      <c r="M42" s="96">
        <v>46235.0</v>
      </c>
      <c r="N42" s="119">
        <v>46325.0</v>
      </c>
      <c r="O42" s="69">
        <v>49.816</v>
      </c>
      <c r="P42" s="69">
        <v>-0.836</v>
      </c>
      <c r="Q42" s="119"/>
      <c r="R42" s="120"/>
    </row>
    <row r="43" ht="12.75" customHeight="1">
      <c r="A43" s="120"/>
      <c r="B43" s="56" t="s">
        <v>192</v>
      </c>
      <c r="C43" s="57" t="s">
        <v>81</v>
      </c>
      <c r="D43" s="58" t="s">
        <v>193</v>
      </c>
      <c r="E43" s="59">
        <v>99.0</v>
      </c>
      <c r="F43" s="61">
        <f t="shared" si="1"/>
        <v>99</v>
      </c>
      <c r="G43" s="93">
        <v>68.0</v>
      </c>
      <c r="H43" s="61">
        <f t="shared" si="2"/>
        <v>31</v>
      </c>
      <c r="I43" s="93">
        <v>99.0</v>
      </c>
      <c r="J43" s="66">
        <f t="shared" si="3"/>
        <v>1</v>
      </c>
      <c r="K43" s="94" t="s">
        <v>127</v>
      </c>
      <c r="L43" s="95" t="s">
        <v>189</v>
      </c>
      <c r="M43" s="96">
        <v>46235.0</v>
      </c>
      <c r="N43" s="119">
        <v>46325.0</v>
      </c>
      <c r="O43" s="69">
        <v>49.816</v>
      </c>
      <c r="P43" s="69">
        <v>-0.836</v>
      </c>
      <c r="Q43" s="119"/>
      <c r="R43" s="120"/>
    </row>
    <row r="44" ht="12.75" customHeight="1">
      <c r="A44" s="120"/>
      <c r="B44" s="57" t="s">
        <v>106</v>
      </c>
      <c r="C44" s="57" t="s">
        <v>73</v>
      </c>
      <c r="D44" s="58" t="s">
        <v>194</v>
      </c>
      <c r="E44" s="59">
        <v>12.0</v>
      </c>
      <c r="F44" s="61">
        <f t="shared" si="1"/>
        <v>12</v>
      </c>
      <c r="G44" s="93">
        <v>6.0</v>
      </c>
      <c r="H44" s="61">
        <f t="shared" si="2"/>
        <v>6</v>
      </c>
      <c r="I44" s="93">
        <v>12.0</v>
      </c>
      <c r="J44" s="66">
        <f t="shared" si="3"/>
        <v>1</v>
      </c>
      <c r="K44" s="94" t="s">
        <v>127</v>
      </c>
      <c r="L44" s="95" t="s">
        <v>180</v>
      </c>
      <c r="M44" s="96">
        <v>46235.0</v>
      </c>
      <c r="N44" s="119">
        <v>46325.0</v>
      </c>
      <c r="O44" s="69">
        <v>56.204</v>
      </c>
      <c r="P44" s="69">
        <v>9.868</v>
      </c>
      <c r="Q44" s="119"/>
      <c r="R44" s="120"/>
    </row>
    <row r="45" ht="12.75" customHeight="1">
      <c r="A45" s="120"/>
      <c r="B45" s="57" t="s">
        <v>106</v>
      </c>
      <c r="C45" s="57" t="s">
        <v>81</v>
      </c>
      <c r="D45" s="58" t="s">
        <v>194</v>
      </c>
      <c r="E45" s="59">
        <v>123.0</v>
      </c>
      <c r="F45" s="61">
        <f t="shared" si="1"/>
        <v>123</v>
      </c>
      <c r="G45" s="93">
        <v>50.0</v>
      </c>
      <c r="H45" s="61">
        <f t="shared" si="2"/>
        <v>73</v>
      </c>
      <c r="I45" s="93">
        <v>123.0</v>
      </c>
      <c r="J45" s="66">
        <f t="shared" si="3"/>
        <v>1</v>
      </c>
      <c r="K45" s="94" t="s">
        <v>127</v>
      </c>
      <c r="L45" s="95" t="s">
        <v>180</v>
      </c>
      <c r="M45" s="96">
        <v>46235.0</v>
      </c>
      <c r="N45" s="119">
        <v>46325.0</v>
      </c>
      <c r="O45" s="69">
        <v>56.204</v>
      </c>
      <c r="P45" s="69">
        <v>9.868</v>
      </c>
      <c r="Q45" s="119"/>
      <c r="R45" s="120"/>
    </row>
    <row r="46" ht="12.75" customHeight="1">
      <c r="A46" s="120"/>
      <c r="B46" s="56" t="s">
        <v>195</v>
      </c>
      <c r="C46" s="57" t="s">
        <v>77</v>
      </c>
      <c r="D46" s="58" t="s">
        <v>196</v>
      </c>
      <c r="E46" s="92">
        <v>6.0</v>
      </c>
      <c r="F46" s="61">
        <f t="shared" si="1"/>
        <v>6</v>
      </c>
      <c r="G46" s="93">
        <v>6.0</v>
      </c>
      <c r="H46" s="64">
        <f t="shared" si="2"/>
        <v>0</v>
      </c>
      <c r="I46" s="98">
        <v>6.0</v>
      </c>
      <c r="J46" s="66">
        <f t="shared" si="3"/>
        <v>1</v>
      </c>
      <c r="K46" s="94" t="s">
        <v>197</v>
      </c>
      <c r="L46" s="95" t="s">
        <v>180</v>
      </c>
      <c r="M46" s="96">
        <v>46118.0</v>
      </c>
      <c r="N46" s="96">
        <v>46178.0</v>
      </c>
      <c r="O46" s="69">
        <v>100.0</v>
      </c>
      <c r="P46" s="69">
        <v>100.0</v>
      </c>
      <c r="Q46" s="96"/>
      <c r="R46" s="120"/>
    </row>
    <row r="47" ht="12.75" customHeight="1">
      <c r="A47" s="120"/>
      <c r="B47" s="56" t="s">
        <v>195</v>
      </c>
      <c r="C47" s="57" t="s">
        <v>81</v>
      </c>
      <c r="D47" s="58" t="s">
        <v>196</v>
      </c>
      <c r="E47" s="92">
        <v>76.0</v>
      </c>
      <c r="F47" s="61">
        <f t="shared" si="1"/>
        <v>76</v>
      </c>
      <c r="G47" s="93">
        <v>61.0</v>
      </c>
      <c r="H47" s="61">
        <f t="shared" si="2"/>
        <v>15</v>
      </c>
      <c r="I47" s="98">
        <v>76.0</v>
      </c>
      <c r="J47" s="66">
        <f t="shared" si="3"/>
        <v>1</v>
      </c>
      <c r="K47" s="94" t="s">
        <v>197</v>
      </c>
      <c r="L47" s="95" t="s">
        <v>180</v>
      </c>
      <c r="M47" s="96">
        <v>46118.0</v>
      </c>
      <c r="N47" s="96">
        <v>46178.0</v>
      </c>
      <c r="O47" s="69">
        <v>100.0</v>
      </c>
      <c r="P47" s="69">
        <v>100.0</v>
      </c>
      <c r="Q47" s="96"/>
      <c r="R47" s="120"/>
    </row>
    <row r="48" ht="12.75" customHeight="1">
      <c r="A48" s="105"/>
      <c r="B48" s="30" t="s">
        <v>175</v>
      </c>
      <c r="C48" s="30" t="s">
        <v>175</v>
      </c>
      <c r="D48" s="121"/>
      <c r="E48" s="121" t="s">
        <v>175</v>
      </c>
      <c r="F48" s="121"/>
      <c r="G48" s="121" t="s">
        <v>175</v>
      </c>
      <c r="H48" s="121" t="s">
        <v>175</v>
      </c>
      <c r="I48" s="121" t="s">
        <v>175</v>
      </c>
      <c r="J48" s="30"/>
      <c r="K48" s="30" t="s">
        <v>175</v>
      </c>
      <c r="L48" s="122"/>
      <c r="M48" s="30"/>
      <c r="N48" s="30"/>
      <c r="O48" s="30"/>
      <c r="P48" s="30"/>
      <c r="Q48" s="30"/>
      <c r="R48" s="30"/>
    </row>
    <row r="49" ht="12.75" customHeight="1">
      <c r="A49" s="105"/>
      <c r="B49" s="105"/>
      <c r="C49" s="105"/>
      <c r="D49" s="105"/>
      <c r="E49" s="30"/>
      <c r="F49" s="121"/>
      <c r="G49" s="121" t="s">
        <v>175</v>
      </c>
      <c r="H49" s="121" t="s">
        <v>175</v>
      </c>
      <c r="I49" s="121" t="s">
        <v>175</v>
      </c>
      <c r="J49" s="30"/>
      <c r="K49" s="30" t="s">
        <v>175</v>
      </c>
      <c r="L49" s="122"/>
      <c r="M49" s="30"/>
      <c r="N49" s="30"/>
      <c r="O49" s="30"/>
      <c r="P49" s="30"/>
      <c r="Q49" s="30"/>
      <c r="R49" s="30"/>
    </row>
    <row r="50" ht="12.75" customHeight="1">
      <c r="A50" s="105"/>
      <c r="B50" s="105"/>
      <c r="C50" s="105"/>
      <c r="D50" s="105"/>
      <c r="E50" s="105"/>
      <c r="F50" s="123"/>
      <c r="G50" s="123" t="s">
        <v>175</v>
      </c>
      <c r="H50" s="123" t="s">
        <v>175</v>
      </c>
      <c r="I50" s="123" t="s">
        <v>175</v>
      </c>
      <c r="J50" s="105"/>
      <c r="K50" s="105" t="s">
        <v>175</v>
      </c>
      <c r="L50" s="124"/>
      <c r="M50" s="105"/>
      <c r="N50" s="105"/>
      <c r="O50" s="105"/>
      <c r="P50" s="105"/>
      <c r="Q50" s="105"/>
      <c r="R50" s="105"/>
    </row>
  </sheetData>
  <customSheetViews>
    <customSheetView guid="{D0954DC0-4A94-40B5-BBCD-1FA0DCF699D0}" filter="1" showAutoFilter="1">
      <autoFilter ref="$B$5:$Q$47">
        <filterColumn colId="9">
          <filters>
            <filter val="6. SELESAI PROYEK"/>
            <filter val="2. PERSIAPAN TENDER"/>
            <filter val="5. SEDANG PENGERJAAN"/>
          </filters>
        </filterColumn>
      </autoFilter>
      <extLst>
        <ext uri="GoogleSheetsCustomDataVersion1">
          <go:sheetsCustomData xmlns:go="http://customooxmlschemas.google.com/" filterViewId="110908343"/>
        </ext>
      </extLst>
    </customSheetView>
    <customSheetView guid="{936199BC-2544-48C2-A6D2-7DB69FC82CA1}" filter="1" showAutoFilter="1">
      <autoFilter ref="$B$5:$Q$47">
        <filterColumn colId="9">
          <filters>
            <filter val="6. SELESAI PROYEK"/>
            <filter val="2. PERSIAPAN TENDER"/>
            <filter val="5. SEDANG PENGERJAAN"/>
          </filters>
        </filterColumn>
      </autoFilter>
      <extLst>
        <ext uri="GoogleSheetsCustomDataVersion1">
          <go:sheetsCustomData xmlns:go="http://customooxmlschemas.google.com/" filterViewId="2144759618"/>
        </ext>
      </extLst>
    </customSheetView>
    <customSheetView guid="{0EAD7D08-F07E-4B97-836E-65CB07B13D3E}" filter="1" showAutoFilter="1">
      <autoFilter ref="$B$5:$Q$47">
        <filterColumn colId="9">
          <filters>
            <filter val="6. SELESAI PROYEK"/>
            <filter val="2. PERSIAPAN TENDER"/>
            <filter val="5. SEDANG PENGERJAAN"/>
          </filters>
        </filterColumn>
      </autoFilter>
      <extLst>
        <ext uri="GoogleSheetsCustomDataVersion1">
          <go:sheetsCustomData xmlns:go="http://customooxmlschemas.google.com/" filterViewId="419677241"/>
        </ext>
      </extLst>
    </customSheetView>
    <customSheetView guid="{E53AA6DC-C4E3-421E-BE12-4996A1DF4CB3}" filter="1" showAutoFilter="1">
      <autoFilter ref="$B$5:$Q$47">
        <filterColumn colId="9">
          <filters>
            <filter val="6. SELESAI PROYEK"/>
            <filter val="2. PERSIAPAN TENDER"/>
            <filter val="5. SEDANG PENGERJAAN"/>
          </filters>
        </filterColumn>
        <sortState ref="B5:Q47">
          <sortCondition ref="C5:C47"/>
        </sortState>
      </autoFilter>
      <extLst>
        <ext uri="GoogleSheetsCustomDataVersion1">
          <go:sheetsCustomData xmlns:go="http://customooxmlschemas.google.com/" filterViewId="522686714"/>
        </ext>
      </extLst>
    </customSheetView>
  </customSheetViews>
  <mergeCells count="6">
    <mergeCell ref="D1:E1"/>
    <mergeCell ref="B4:C4"/>
    <mergeCell ref="E4:F4"/>
    <mergeCell ref="G4:H4"/>
    <mergeCell ref="I4:Q4"/>
    <mergeCell ref="G1:Q1"/>
  </mergeCells>
  <conditionalFormatting sqref="B6:B39 B42:B46">
    <cfRule type="expression" dxfId="7" priority="1">
      <formula>K6="CEK ZONA"</formula>
    </cfRule>
  </conditionalFormatting>
  <conditionalFormatting sqref="J6:J47">
    <cfRule type="colorScale" priority="2">
      <colorScale>
        <cfvo type="min"/>
        <cfvo type="percentile" val="50"/>
        <cfvo type="max"/>
        <color rgb="FFB7B7B7"/>
        <color rgb="FFFFFFFF"/>
        <color rgb="FF57BB8A"/>
      </colorScale>
    </cfRule>
  </conditionalFormatting>
  <conditionalFormatting sqref="P6:P47">
    <cfRule type="colorScale" priority="3">
      <colorScale>
        <cfvo type="min"/>
        <cfvo type="percentile" val="50"/>
        <cfvo type="max"/>
        <color rgb="FFFF0000"/>
        <color rgb="FFFFFFFF"/>
        <color rgb="FF00FF00"/>
      </colorScale>
    </cfRule>
  </conditionalFormatting>
  <dataValidations>
    <dataValidation type="list" allowBlank="1" sqref="K6:K47">
      <formula1>"4. SUDAH SPK,2. PERSIAPAN TENDER,5. SEDANG PENGERJAAN,1. ACC MAKAM,6. SELESAI PROYEK,3. SEDANG TENDER,0. HOLD/CANCEL"</formula1>
    </dataValidation>
    <dataValidation type="custom" allowBlank="1" showDropDown="1" sqref="E6:E47 H6:J47 O6:P47">
      <formula1>AND(ISNUMBER(E6),(NOT(OR(NOT(ISERROR(DATEVALUE(E6))), AND(ISNUMBER(E6), LEFT(CELL("format", E6))="D")))))</formula1>
    </dataValidation>
  </dataValidations>
  <hyperlinks>
    <hyperlink r:id="rId2" location="gid=2019601812" ref="D1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40"/>
    <hyperlink r:id="rId32" ref="D41"/>
    <hyperlink r:id="rId33" ref="D42"/>
    <hyperlink r:id="rId34" ref="D43"/>
    <hyperlink r:id="rId35" ref="D44"/>
    <hyperlink r:id="rId36" ref="D45"/>
    <hyperlink r:id="rId37" ref="D46"/>
    <hyperlink r:id="rId38" ref="D47"/>
  </hyperlinks>
  <printOptions horizontalCentered="1"/>
  <pageMargins bottom="0.75" footer="0.0" header="0.0" left="0.25" right="0.25" top="0.75"/>
  <pageSetup fitToHeight="0" paperSize="8" orientation="landscape"/>
  <drawing r:id="rId39"/>
  <legacyDrawing r:id="rId40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57"/>
    <col customWidth="1" min="2" max="9" width="15.14"/>
    <col customWidth="1" min="10" max="10" width="2.71"/>
    <col customWidth="1" min="11" max="11" width="4.71"/>
  </cols>
  <sheetData>
    <row r="1" ht="24.0" customHeight="1">
      <c r="A1" s="16" t="str">
        <f>"REKAP JUMLAH STOK "&amp;'PROGRES ZONA 25HA'!C1</f>
        <v>REKAP JUMLAH STOK 25-Sep-2026</v>
      </c>
      <c r="B1" s="18"/>
      <c r="C1" s="18"/>
      <c r="D1" s="18"/>
      <c r="E1" s="18"/>
      <c r="F1" s="18"/>
      <c r="G1" s="18"/>
      <c r="H1" s="21"/>
      <c r="I1" s="21"/>
      <c r="J1" s="21"/>
      <c r="K1" s="21"/>
    </row>
    <row r="2">
      <c r="A2" s="18"/>
      <c r="B2" s="18"/>
      <c r="C2" s="18"/>
      <c r="D2" s="18"/>
      <c r="E2" s="18"/>
      <c r="F2" s="18"/>
      <c r="G2" s="18"/>
      <c r="H2" s="21"/>
      <c r="I2" s="21"/>
      <c r="J2" s="21"/>
      <c r="K2" s="21"/>
    </row>
    <row r="3" ht="22.5" customHeight="1">
      <c r="A3" s="31" t="s">
        <v>31</v>
      </c>
      <c r="B3" s="31" t="s">
        <v>36</v>
      </c>
      <c r="C3" s="31" t="s">
        <v>39</v>
      </c>
      <c r="D3" s="31" t="s">
        <v>40</v>
      </c>
      <c r="E3" s="31" t="s">
        <v>41</v>
      </c>
      <c r="F3" s="31" t="s">
        <v>43</v>
      </c>
      <c r="G3" s="31" t="s">
        <v>44</v>
      </c>
      <c r="H3" s="43" t="s">
        <v>47</v>
      </c>
      <c r="J3" s="21"/>
      <c r="K3" s="21"/>
    </row>
    <row r="4" ht="22.5" customHeight="1">
      <c r="A4" s="45" t="s">
        <v>51</v>
      </c>
      <c r="B4" s="45" t="s">
        <v>54</v>
      </c>
      <c r="C4" s="52">
        <f>SUMIF(PROGRES_ZONA[[#ALL],[TYPE]], A4, PROGRES_ZONA[[#ALL],[RENCANA]])</f>
        <v>226</v>
      </c>
      <c r="D4" s="52">
        <f>SUMIF(PROGRES_ZONA[[#ALL],[TYPE]], A4, PROGRES_ZONA[[#ALL],[SPK]])</f>
        <v>103</v>
      </c>
      <c r="E4" s="52">
        <f>SUMIF(PROGRES_ZONA[[#ALL],[TYPE]], A4, PROGRES_ZONA[[#ALL],[TERJUAL]])</f>
        <v>17</v>
      </c>
      <c r="F4" s="52">
        <f t="shared" ref="F4:F17" si="1">D4-E4</f>
        <v>86</v>
      </c>
      <c r="G4" s="52">
        <f>SUMIF(PROGRES_ZONA[[#ALL],[TYPE]], A4, PROGRES_ZONA[[#ALL],[FUNERAL READY]])</f>
        <v>32</v>
      </c>
      <c r="H4" s="63">
        <f t="shared" ref="H4:H17" si="2">IFERROR(G4/D4,"")</f>
        <v>0.3106796117</v>
      </c>
      <c r="J4" s="21"/>
      <c r="K4" s="21"/>
    </row>
    <row r="5" ht="22.5" customHeight="1">
      <c r="A5" s="45" t="s">
        <v>77</v>
      </c>
      <c r="B5" s="45" t="s">
        <v>54</v>
      </c>
      <c r="C5" s="52">
        <f>SUMIF(PROGRES_ZONA[[#ALL],[TYPE]], A5, PROGRES_ZONA[[#ALL],[RENCANA]])</f>
        <v>6</v>
      </c>
      <c r="D5" s="52">
        <f>SUMIF(PROGRES_ZONA[[#ALL],[TYPE]], A5, PROGRES_ZONA[[#ALL],[SPK]])</f>
        <v>6</v>
      </c>
      <c r="E5" s="52">
        <f>SUMIF(PROGRES_ZONA[[#ALL],[TYPE]], A5, PROGRES_ZONA[[#ALL],[TERJUAL]])</f>
        <v>6</v>
      </c>
      <c r="F5" s="52">
        <f t="shared" si="1"/>
        <v>0</v>
      </c>
      <c r="G5" s="52">
        <f>SUMIF(PROGRES_ZONA[[#ALL],[TYPE]], A5, PROGRES_ZONA[[#ALL],[FUNERAL READY]])</f>
        <v>6</v>
      </c>
      <c r="H5" s="63">
        <f t="shared" si="2"/>
        <v>1</v>
      </c>
      <c r="J5" s="21"/>
      <c r="K5" s="21"/>
    </row>
    <row r="6" ht="22.5" customHeight="1">
      <c r="A6" s="45" t="s">
        <v>73</v>
      </c>
      <c r="B6" s="45" t="s">
        <v>54</v>
      </c>
      <c r="C6" s="52">
        <f>SUMIF(PROGRES_ZONA[[#ALL],[TYPE]], A6, PROGRES_ZONA[[#ALL],[RENCANA]])</f>
        <v>47</v>
      </c>
      <c r="D6" s="52">
        <f>SUMIF(PROGRES_ZONA[[#ALL],[TYPE]], A6, PROGRES_ZONA[[#ALL],[SPK]])</f>
        <v>37</v>
      </c>
      <c r="E6" s="52">
        <f>SUMIF(PROGRES_ZONA[[#ALL],[TYPE]], A6, PROGRES_ZONA[[#ALL],[TERJUAL]])</f>
        <v>16</v>
      </c>
      <c r="F6" s="52">
        <f t="shared" si="1"/>
        <v>21</v>
      </c>
      <c r="G6" s="52">
        <f>SUMIF(PROGRES_ZONA[[#ALL],[TYPE]], A6, PROGRES_ZONA[[#ALL],[FUNERAL READY]])</f>
        <v>34</v>
      </c>
      <c r="H6" s="63">
        <f t="shared" si="2"/>
        <v>0.9189189189</v>
      </c>
      <c r="J6" s="21"/>
      <c r="K6" s="21"/>
    </row>
    <row r="7" ht="22.5" customHeight="1">
      <c r="A7" s="45" t="s">
        <v>95</v>
      </c>
      <c r="B7" s="45" t="s">
        <v>54</v>
      </c>
      <c r="C7" s="52">
        <f>SUMIF(PROGRES_ZONA[[#ALL],[TYPE]], A7, PROGRES_ZONA[[#ALL],[RENCANA]])</f>
        <v>6</v>
      </c>
      <c r="D7" s="52">
        <f>SUMIF(PROGRES_ZONA[[#ALL],[TYPE]], A7, PROGRES_ZONA[[#ALL],[SPK]])</f>
        <v>0</v>
      </c>
      <c r="E7" s="52">
        <f>SUMIF(PROGRES_ZONA[[#ALL],[TYPE]], A7, PROGRES_ZONA[[#ALL],[TERJUAL]])</f>
        <v>0</v>
      </c>
      <c r="F7" s="52">
        <f t="shared" si="1"/>
        <v>0</v>
      </c>
      <c r="G7" s="52">
        <f>SUMIF(PROGRES_ZONA[[#ALL],[TYPE]], A7, PROGRES_ZONA[[#ALL],[FUNERAL READY]])</f>
        <v>0</v>
      </c>
      <c r="H7" s="63" t="str">
        <f t="shared" si="2"/>
        <v/>
      </c>
      <c r="J7" s="21"/>
      <c r="K7" s="21"/>
    </row>
    <row r="8" ht="22.5" customHeight="1">
      <c r="A8" s="45" t="s">
        <v>109</v>
      </c>
      <c r="B8" s="45" t="s">
        <v>121</v>
      </c>
      <c r="C8" s="52">
        <f>SUMIF(PROGRES_ZONA[[#ALL],[TYPE]], A8, PROGRES_ZONA[[#ALL],[RENCANA]])</f>
        <v>39</v>
      </c>
      <c r="D8" s="52">
        <f>SUMIF(PROGRES_ZONA[[#ALL],[TYPE]], A8, PROGRES_ZONA[[#ALL],[SPK]])</f>
        <v>18</v>
      </c>
      <c r="E8" s="52">
        <f>SUMIF(PROGRES_ZONA[[#ALL],[TYPE]], A8, PROGRES_ZONA[[#ALL],[TERJUAL]])</f>
        <v>14</v>
      </c>
      <c r="F8" s="52">
        <f t="shared" si="1"/>
        <v>4</v>
      </c>
      <c r="G8" s="52">
        <f>SUMIF(PROGRES_ZONA[[#ALL],[TYPE]], A8, PROGRES_ZONA[[#ALL],[FUNERAL READY]])</f>
        <v>15</v>
      </c>
      <c r="H8" s="63">
        <f t="shared" si="2"/>
        <v>0.8333333333</v>
      </c>
      <c r="J8" s="21"/>
      <c r="K8" s="21"/>
    </row>
    <row r="9" ht="22.5" customHeight="1">
      <c r="A9" s="45" t="s">
        <v>134</v>
      </c>
      <c r="B9" s="45" t="s">
        <v>121</v>
      </c>
      <c r="C9" s="52">
        <f>SUMIF(PROGRES_ZONA[[#ALL],[TYPE]], A9, PROGRES_ZONA[[#ALL],[RENCANA]])</f>
        <v>4</v>
      </c>
      <c r="D9" s="52">
        <f>SUMIF(PROGRES_ZONA[[#ALL],[TYPE]], A9, PROGRES_ZONA[[#ALL],[SPK]])</f>
        <v>4</v>
      </c>
      <c r="E9" s="52">
        <f>SUMIF(PROGRES_ZONA[[#ALL],[TYPE]], A9, PROGRES_ZONA[[#ALL],[TERJUAL]])</f>
        <v>4</v>
      </c>
      <c r="F9" s="52">
        <f t="shared" si="1"/>
        <v>0</v>
      </c>
      <c r="G9" s="52">
        <f>SUMIF(PROGRES_ZONA[[#ALL],[TYPE]], A9, PROGRES_ZONA[[#ALL],[FUNERAL READY]])</f>
        <v>4</v>
      </c>
      <c r="H9" s="63">
        <f t="shared" si="2"/>
        <v>1</v>
      </c>
      <c r="J9" s="21"/>
      <c r="K9" s="21"/>
    </row>
    <row r="10" ht="22.5" customHeight="1">
      <c r="A10" s="45" t="s">
        <v>124</v>
      </c>
      <c r="B10" s="99" t="s">
        <v>143</v>
      </c>
      <c r="C10" s="52">
        <f>SUMIF(PROGRES_ZONA[[#ALL],[TYPE]], A10, PROGRES_ZONA[[#ALL],[RENCANA]])</f>
        <v>1</v>
      </c>
      <c r="D10" s="52">
        <f>SUMIF(PROGRES_ZONA[[#ALL],[TYPE]], A10, PROGRES_ZONA[[#ALL],[SPK]])</f>
        <v>1</v>
      </c>
      <c r="E10" s="52">
        <f>SUMIF(PROGRES_ZONA[[#ALL],[TYPE]], A10, PROGRES_ZONA[[#ALL],[TERJUAL]])</f>
        <v>0</v>
      </c>
      <c r="F10" s="52">
        <f t="shared" si="1"/>
        <v>1</v>
      </c>
      <c r="G10" s="52">
        <f>SUMIF(PROGRES_ZONA[[#ALL],[TYPE]], A10, PROGRES_ZONA[[#ALL],[FUNERAL READY]])</f>
        <v>1</v>
      </c>
      <c r="H10" s="63">
        <f t="shared" si="2"/>
        <v>1</v>
      </c>
      <c r="J10" s="21"/>
      <c r="K10" s="21"/>
    </row>
    <row r="11" ht="22.5" customHeight="1">
      <c r="A11" s="45" t="s">
        <v>132</v>
      </c>
      <c r="B11" s="99" t="s">
        <v>143</v>
      </c>
      <c r="C11" s="52">
        <f>SUMIF(PROGRES_ZONA[[#ALL],[TYPE]], A11, PROGRES_ZONA[[#ALL],[RENCANA]])</f>
        <v>1</v>
      </c>
      <c r="D11" s="52">
        <f>SUMIF(PROGRES_ZONA[[#ALL],[TYPE]], A11, PROGRES_ZONA[[#ALL],[SPK]])</f>
        <v>1</v>
      </c>
      <c r="E11" s="52">
        <f>SUMIF(PROGRES_ZONA[[#ALL],[TYPE]], A11, PROGRES_ZONA[[#ALL],[TERJUAL]])</f>
        <v>0</v>
      </c>
      <c r="F11" s="52">
        <f t="shared" si="1"/>
        <v>1</v>
      </c>
      <c r="G11" s="52">
        <f>SUMIF(PROGRES_ZONA[[#ALL],[TYPE]], A11, PROGRES_ZONA[[#ALL],[FUNERAL READY]])</f>
        <v>1</v>
      </c>
      <c r="H11" s="63">
        <f t="shared" si="2"/>
        <v>1</v>
      </c>
      <c r="J11" s="21"/>
      <c r="K11" s="21"/>
    </row>
    <row r="12" ht="22.5" customHeight="1">
      <c r="A12" s="45" t="s">
        <v>136</v>
      </c>
      <c r="B12" s="99" t="s">
        <v>143</v>
      </c>
      <c r="C12" s="52">
        <f>SUMIF(PROGRES_ZONA[[#ALL],[TYPE]], A12, PROGRES_ZONA[[#ALL],[RENCANA]])</f>
        <v>2</v>
      </c>
      <c r="D12" s="52">
        <f>SUMIF(PROGRES_ZONA[[#ALL],[TYPE]], A12, PROGRES_ZONA[[#ALL],[SPK]])</f>
        <v>2</v>
      </c>
      <c r="E12" s="52">
        <f>SUMIF(PROGRES_ZONA[[#ALL],[TYPE]], A12, PROGRES_ZONA[[#ALL],[TERJUAL]])</f>
        <v>0</v>
      </c>
      <c r="F12" s="52">
        <f t="shared" si="1"/>
        <v>2</v>
      </c>
      <c r="G12" s="52">
        <f>SUMIF(PROGRES_ZONA[[#ALL],[TYPE]], A12, PROGRES_ZONA[[#ALL],[FUNERAL READY]])</f>
        <v>0</v>
      </c>
      <c r="H12" s="63">
        <f t="shared" si="2"/>
        <v>0</v>
      </c>
      <c r="J12" s="21"/>
      <c r="K12" s="21"/>
    </row>
    <row r="13" ht="22.5" customHeight="1">
      <c r="A13" s="45" t="s">
        <v>81</v>
      </c>
      <c r="B13" s="99" t="s">
        <v>160</v>
      </c>
      <c r="C13" s="52">
        <f>SUMIF(PROGRES_ZONA[[#ALL],[TYPE]], A13, PROGRES_ZONA[[#ALL],[RENCANA]])</f>
        <v>1541</v>
      </c>
      <c r="D13" s="52">
        <f>SUMIF(PROGRES_ZONA[[#ALL],[TYPE]], A13, PROGRES_ZONA[[#ALL],[SPK]])</f>
        <v>1445</v>
      </c>
      <c r="E13" s="52">
        <f>SUMIF(PROGRES_ZONA[[#ALL],[TYPE]], A13, PROGRES_ZONA[[#ALL],[TERJUAL]])</f>
        <v>608</v>
      </c>
      <c r="F13" s="52">
        <f t="shared" si="1"/>
        <v>837</v>
      </c>
      <c r="G13" s="52">
        <f>SUMIF(PROGRES_ZONA[[#ALL],[TYPE]], A13, PROGRES_ZONA[[#ALL],[FUNERAL READY]])</f>
        <v>1225</v>
      </c>
      <c r="H13" s="63">
        <f t="shared" si="2"/>
        <v>0.8477508651</v>
      </c>
      <c r="J13" s="21"/>
      <c r="K13" s="21"/>
    </row>
    <row r="14" ht="22.5" customHeight="1">
      <c r="A14" s="45" t="s">
        <v>169</v>
      </c>
      <c r="B14" s="99" t="s">
        <v>170</v>
      </c>
      <c r="C14" s="52">
        <f>SUMIF(PROGRES_ZONA[[#ALL],[TYPE]], A14, PROGRES_ZONA[[#ALL],[RENCANA]])</f>
        <v>20</v>
      </c>
      <c r="D14" s="52">
        <f>SUMIF(PROGRES_ZONA[[#ALL],[TYPE]], A14, PROGRES_ZONA[[#ALL],[SPK]])</f>
        <v>20</v>
      </c>
      <c r="E14" s="52">
        <f>SUMIF(PROGRES_ZONA[[#ALL],[TYPE]], A14, PROGRES_ZONA[[#ALL],[TERJUAL]])</f>
        <v>2</v>
      </c>
      <c r="F14" s="52">
        <f t="shared" si="1"/>
        <v>18</v>
      </c>
      <c r="G14" s="52">
        <f>SUMIF(PROGRES_ZONA[[#ALL],[TYPE]], A14, PROGRES_ZONA[[#ALL],[FUNERAL READY]])</f>
        <v>20</v>
      </c>
      <c r="H14" s="63">
        <f t="shared" si="2"/>
        <v>1</v>
      </c>
      <c r="J14" s="21"/>
      <c r="K14" s="21"/>
    </row>
    <row r="15" ht="22.5" customHeight="1">
      <c r="A15" s="45" t="s">
        <v>87</v>
      </c>
      <c r="B15" s="99" t="s">
        <v>176</v>
      </c>
      <c r="C15" s="52">
        <f>SUMIF(PROGRES_ZONA[[#ALL],[TYPE]], A15, PROGRES_ZONA[[#ALL],[RENCANA]])</f>
        <v>33</v>
      </c>
      <c r="D15" s="52">
        <f>SUMIF(PROGRES_ZONA[[#ALL],[TYPE]], A15, PROGRES_ZONA[[#ALL],[SPK]])</f>
        <v>26</v>
      </c>
      <c r="E15" s="52">
        <f>SUMIF(PROGRES_ZONA[[#ALL],[TYPE]], A15, PROGRES_ZONA[[#ALL],[TERJUAL]])</f>
        <v>12</v>
      </c>
      <c r="F15" s="52">
        <f t="shared" si="1"/>
        <v>14</v>
      </c>
      <c r="G15" s="52">
        <f>SUMIF(PROGRES_ZONA[[#ALL],[TYPE]], A15, PROGRES_ZONA[[#ALL],[FUNERAL READY]])</f>
        <v>15</v>
      </c>
      <c r="H15" s="63">
        <f t="shared" si="2"/>
        <v>0.5769230769</v>
      </c>
      <c r="J15" s="21"/>
      <c r="K15" s="21"/>
    </row>
    <row r="16" ht="22.5" customHeight="1">
      <c r="A16" s="45" t="s">
        <v>177</v>
      </c>
      <c r="B16" s="99" t="s">
        <v>176</v>
      </c>
      <c r="C16" s="52">
        <f>SUMIF(PROGRES_ZONA[[#ALL],[TYPE]], A16, PROGRES_ZONA[[#ALL],[RENCANA]])</f>
        <v>5</v>
      </c>
      <c r="D16" s="52">
        <f>SUMIF(PROGRES_ZONA[[#ALL],[TYPE]], A16, PROGRES_ZONA[[#ALL],[SPK]])</f>
        <v>5</v>
      </c>
      <c r="E16" s="52">
        <f>SUMIF(PROGRES_ZONA[[#ALL],[TYPE]], A16, PROGRES_ZONA[[#ALL],[TERJUAL]])</f>
        <v>5</v>
      </c>
      <c r="F16" s="52">
        <f t="shared" si="1"/>
        <v>0</v>
      </c>
      <c r="G16" s="52">
        <f>SUMIF(PROGRES_ZONA[[#ALL],[TYPE]], A16, PROGRES_ZONA[[#ALL],[FUNERAL READY]])</f>
        <v>4</v>
      </c>
      <c r="H16" s="63">
        <f t="shared" si="2"/>
        <v>0.8</v>
      </c>
      <c r="J16" s="21"/>
      <c r="K16" s="21"/>
    </row>
    <row r="17" ht="22.5" customHeight="1">
      <c r="A17" s="45" t="s">
        <v>139</v>
      </c>
      <c r="B17" s="99" t="s">
        <v>176</v>
      </c>
      <c r="C17" s="52">
        <f>SUMIF(PROGRES_ZONA[[#ALL],[TYPE]], A17, PROGRES_ZONA[[#ALL],[RENCANA]])</f>
        <v>1</v>
      </c>
      <c r="D17" s="52">
        <f>SUMIF(PROGRES_ZONA[[#ALL],[TYPE]], A17, PROGRES_ZONA[[#ALL],[SPK]])</f>
        <v>1</v>
      </c>
      <c r="E17" s="52">
        <f>SUMIF(PROGRES_ZONA[[#ALL],[TYPE]], A17, PROGRES_ZONA[[#ALL],[TERJUAL]])</f>
        <v>1</v>
      </c>
      <c r="F17" s="52">
        <f t="shared" si="1"/>
        <v>0</v>
      </c>
      <c r="G17" s="52">
        <f>SUMIF(PROGRES_ZONA[[#ALL],[TYPE]], A17, PROGRES_ZONA[[#ALL],[FUNERAL READY]])</f>
        <v>1</v>
      </c>
      <c r="H17" s="63">
        <f t="shared" si="2"/>
        <v>1</v>
      </c>
      <c r="J17" s="21"/>
      <c r="K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>
      <c r="A19" s="12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ht="22.5" customHeight="1">
      <c r="A20" s="31" t="s">
        <v>31</v>
      </c>
      <c r="B20" s="31" t="s">
        <v>39</v>
      </c>
      <c r="C20" s="31" t="s">
        <v>40</v>
      </c>
      <c r="D20" s="31" t="s">
        <v>41</v>
      </c>
      <c r="E20" s="31" t="s">
        <v>43</v>
      </c>
      <c r="F20" s="31" t="s">
        <v>44</v>
      </c>
      <c r="G20" s="43" t="s">
        <v>47</v>
      </c>
      <c r="H20" s="109" t="s">
        <v>185</v>
      </c>
      <c r="I20" s="110" t="s">
        <v>187</v>
      </c>
      <c r="K20" s="21"/>
    </row>
    <row r="21" ht="22.5" customHeight="1">
      <c r="A21" s="99" t="s">
        <v>160</v>
      </c>
      <c r="B21" s="111">
        <f t="shared" ref="B21:F21" si="3">C13</f>
        <v>1541</v>
      </c>
      <c r="C21" s="112">
        <f t="shared" si="3"/>
        <v>1445</v>
      </c>
      <c r="D21" s="111">
        <f t="shared" si="3"/>
        <v>608</v>
      </c>
      <c r="E21" s="111">
        <f t="shared" si="3"/>
        <v>837</v>
      </c>
      <c r="F21" s="111">
        <f t="shared" si="3"/>
        <v>1225</v>
      </c>
      <c r="G21" s="63">
        <f t="shared" ref="G21:G26" si="5">F21/C21</f>
        <v>0.8477508651</v>
      </c>
      <c r="H21" s="114">
        <v>1500.0</v>
      </c>
      <c r="I21" s="112">
        <f t="shared" ref="I21:I26" si="6">B21-H21</f>
        <v>41</v>
      </c>
      <c r="K21" s="21"/>
    </row>
    <row r="22" ht="22.5" customHeight="1">
      <c r="A22" s="99" t="s">
        <v>54</v>
      </c>
      <c r="B22" s="111">
        <f t="shared" ref="B22:F22" si="4">SUM(C4:C7)</f>
        <v>285</v>
      </c>
      <c r="C22" s="111">
        <f t="shared" si="4"/>
        <v>146</v>
      </c>
      <c r="D22" s="111">
        <f t="shared" si="4"/>
        <v>39</v>
      </c>
      <c r="E22" s="111">
        <f t="shared" si="4"/>
        <v>107</v>
      </c>
      <c r="F22" s="111">
        <f t="shared" si="4"/>
        <v>72</v>
      </c>
      <c r="G22" s="63">
        <f t="shared" si="5"/>
        <v>0.4931506849</v>
      </c>
      <c r="H22" s="114">
        <v>180.0</v>
      </c>
      <c r="I22" s="112">
        <f t="shared" si="6"/>
        <v>105</v>
      </c>
      <c r="K22" s="21"/>
    </row>
    <row r="23" ht="22.5" customHeight="1">
      <c r="A23" s="99" t="s">
        <v>170</v>
      </c>
      <c r="B23" s="111">
        <f t="shared" ref="B23:F23" si="7">C14</f>
        <v>20</v>
      </c>
      <c r="C23" s="111">
        <f t="shared" si="7"/>
        <v>20</v>
      </c>
      <c r="D23" s="111">
        <f t="shared" si="7"/>
        <v>2</v>
      </c>
      <c r="E23" s="111">
        <f t="shared" si="7"/>
        <v>18</v>
      </c>
      <c r="F23" s="111">
        <f t="shared" si="7"/>
        <v>20</v>
      </c>
      <c r="G23" s="63">
        <f t="shared" si="5"/>
        <v>1</v>
      </c>
      <c r="H23" s="114"/>
      <c r="I23" s="115">
        <f t="shared" si="6"/>
        <v>20</v>
      </c>
      <c r="K23" s="21"/>
    </row>
    <row r="24" ht="22.5" customHeight="1">
      <c r="A24" s="99" t="s">
        <v>121</v>
      </c>
      <c r="B24" s="111">
        <f t="shared" ref="B24:F24" si="8">C8+C9</f>
        <v>43</v>
      </c>
      <c r="C24" s="111">
        <f t="shared" si="8"/>
        <v>22</v>
      </c>
      <c r="D24" s="111">
        <f t="shared" si="8"/>
        <v>18</v>
      </c>
      <c r="E24" s="111">
        <f t="shared" si="8"/>
        <v>4</v>
      </c>
      <c r="F24" s="111">
        <f t="shared" si="8"/>
        <v>19</v>
      </c>
      <c r="G24" s="63">
        <f t="shared" si="5"/>
        <v>0.8636363636</v>
      </c>
      <c r="H24" s="114">
        <v>50.0</v>
      </c>
      <c r="I24" s="112">
        <f t="shared" si="6"/>
        <v>-7</v>
      </c>
      <c r="K24" s="21"/>
    </row>
    <row r="25" ht="22.5" customHeight="1">
      <c r="A25" s="99" t="s">
        <v>176</v>
      </c>
      <c r="B25" s="111">
        <f t="shared" ref="B25:F25" si="9">SUM(C15:C17)</f>
        <v>39</v>
      </c>
      <c r="C25" s="111">
        <f t="shared" si="9"/>
        <v>32</v>
      </c>
      <c r="D25" s="111">
        <f t="shared" si="9"/>
        <v>18</v>
      </c>
      <c r="E25" s="111">
        <f t="shared" si="9"/>
        <v>14</v>
      </c>
      <c r="F25" s="111">
        <f t="shared" si="9"/>
        <v>20</v>
      </c>
      <c r="G25" s="63">
        <f t="shared" si="5"/>
        <v>0.625</v>
      </c>
      <c r="H25" s="116"/>
      <c r="I25" s="117">
        <f t="shared" si="6"/>
        <v>39</v>
      </c>
      <c r="K25" s="21"/>
    </row>
    <row r="26" ht="22.5" customHeight="1">
      <c r="A26" s="99" t="s">
        <v>143</v>
      </c>
      <c r="B26" s="111">
        <f t="shared" ref="B26:F26" si="10">SUM(C10:C12)</f>
        <v>4</v>
      </c>
      <c r="C26" s="111">
        <f t="shared" si="10"/>
        <v>4</v>
      </c>
      <c r="D26" s="111">
        <f t="shared" si="10"/>
        <v>0</v>
      </c>
      <c r="E26" s="111">
        <f t="shared" si="10"/>
        <v>4</v>
      </c>
      <c r="F26" s="111">
        <f t="shared" si="10"/>
        <v>2</v>
      </c>
      <c r="G26" s="63">
        <f t="shared" si="5"/>
        <v>0.5</v>
      </c>
      <c r="H26" s="114">
        <v>3.0</v>
      </c>
      <c r="I26" s="115">
        <f t="shared" si="6"/>
        <v>1</v>
      </c>
      <c r="K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>
      <c r="A28" s="21"/>
      <c r="B28" s="21"/>
      <c r="C28" s="21"/>
      <c r="D28" s="118"/>
      <c r="E28" s="118"/>
      <c r="F28" s="118"/>
      <c r="G28" s="118"/>
      <c r="I28" s="118"/>
      <c r="J28" s="118"/>
      <c r="K28" s="21"/>
    </row>
    <row r="29">
      <c r="A29" s="21"/>
      <c r="B29" s="21"/>
      <c r="C29" s="21"/>
      <c r="D29" s="118"/>
      <c r="E29" s="118"/>
      <c r="F29" s="118"/>
      <c r="G29" s="118"/>
      <c r="H29" s="118"/>
      <c r="I29" s="118"/>
      <c r="J29" s="118"/>
      <c r="K29" s="21"/>
    </row>
    <row r="30">
      <c r="A30" s="21"/>
      <c r="B30" s="21"/>
      <c r="C30" s="21"/>
      <c r="D30" s="118"/>
      <c r="E30" s="118"/>
      <c r="F30" s="118"/>
      <c r="G30" s="118"/>
      <c r="H30" s="118"/>
      <c r="I30" s="118"/>
      <c r="J30" s="118"/>
      <c r="K30" s="21"/>
    </row>
  </sheetData>
  <conditionalFormatting sqref="I21:I26">
    <cfRule type="cellIs" dxfId="6" priority="1" operator="lessThan">
      <formula>0</formula>
    </cfRule>
  </conditionalFormatting>
  <dataValidations>
    <dataValidation type="custom" allowBlank="1" showDropDown="1" sqref="D4:F17 C21:E26">
      <formula1>AND(ISNUMBER(C4),(NOT(OR(NOT(ISERROR(DATEVALUE(C4))), AND(ISNUMBER(C4), LEFT(CELL("format", C4))="D")))))</formula1>
    </dataValidation>
    <dataValidation type="custom" allowBlank="1" showDropDown="1" sqref="H4:H17 G21:G26">
      <formula1>AND(ISNUMBER(G4),(NOT(OR(NOT(ISERROR(DATEVALUE(G4))), AND(ISNUMBER(G4), LEFT(CELL("format", G4))="D")))))</formula1>
    </dataValidation>
  </dataValidations>
  <printOptions/>
  <pageMargins bottom="0.75" footer="0.0" header="0.0" left="0.7" right="0.7" top="0.75"/>
  <pageSetup fitToHeight="0" paperSize="8"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3" width="4.71"/>
    <col customWidth="1" min="4" max="4" width="22.14"/>
    <col customWidth="1" min="5" max="6" width="23.57"/>
    <col customWidth="1" min="7" max="8" width="4.71"/>
    <col customWidth="1" min="9" max="9" width="24.71"/>
    <col customWidth="1" min="10" max="10" width="22.71"/>
    <col customWidth="1" min="11" max="11" width="28.0"/>
    <col customWidth="1" min="12" max="12" width="4.71"/>
    <col customWidth="1" hidden="1" min="13" max="13" width="4.71"/>
    <col customWidth="1" hidden="1" min="14" max="14" width="24.71"/>
    <col customWidth="1" hidden="1" min="15" max="16" width="22.71"/>
    <col customWidth="1" hidden="1" min="17" max="17" width="6.57"/>
  </cols>
  <sheetData>
    <row r="1">
      <c r="A1" s="15"/>
      <c r="B1" s="15"/>
      <c r="C1" s="15"/>
      <c r="D1" s="15"/>
      <c r="E1" s="15"/>
      <c r="F1" s="15"/>
      <c r="G1" s="15"/>
      <c r="H1" s="15"/>
      <c r="I1" s="17"/>
      <c r="J1" s="19"/>
      <c r="K1" s="20"/>
      <c r="L1" s="20"/>
      <c r="M1" s="15"/>
      <c r="N1" s="21"/>
      <c r="O1" s="22"/>
    </row>
    <row r="2">
      <c r="A2" s="23"/>
      <c r="B2" s="23"/>
      <c r="C2" s="23" t="s">
        <v>32</v>
      </c>
      <c r="D2" s="23"/>
      <c r="E2" s="23"/>
      <c r="F2" s="23"/>
      <c r="G2" s="23"/>
      <c r="H2" s="23" t="s">
        <v>32</v>
      </c>
      <c r="I2" s="24"/>
      <c r="J2" s="26"/>
      <c r="K2" s="28"/>
      <c r="L2" s="28"/>
      <c r="M2" s="23" t="s">
        <v>34</v>
      </c>
      <c r="N2" s="24"/>
      <c r="O2" s="26"/>
      <c r="P2" s="28"/>
    </row>
    <row r="3">
      <c r="C3" s="32" t="s">
        <v>35</v>
      </c>
      <c r="H3" s="32" t="s">
        <v>37</v>
      </c>
    </row>
    <row r="5" ht="22.5" customHeight="1">
      <c r="A5" s="34"/>
      <c r="B5" s="34"/>
      <c r="C5" s="37" t="s">
        <v>38</v>
      </c>
      <c r="D5" s="39" t="s">
        <v>42</v>
      </c>
      <c r="E5" s="42" t="s">
        <v>45</v>
      </c>
      <c r="F5" s="42" t="s">
        <v>49</v>
      </c>
      <c r="G5" s="34"/>
      <c r="H5" s="37" t="s">
        <v>38</v>
      </c>
      <c r="I5" s="39" t="s">
        <v>42</v>
      </c>
      <c r="J5" s="42" t="s">
        <v>53</v>
      </c>
      <c r="K5" s="42" t="s">
        <v>55</v>
      </c>
      <c r="M5" s="37" t="s">
        <v>38</v>
      </c>
      <c r="N5" s="39" t="s">
        <v>42</v>
      </c>
      <c r="O5" s="42" t="s">
        <v>56</v>
      </c>
      <c r="P5" s="42" t="s">
        <v>57</v>
      </c>
    </row>
    <row r="6" ht="49.5" customHeight="1">
      <c r="A6" s="34"/>
      <c r="B6" s="34"/>
      <c r="C6" s="50">
        <v>1.0</v>
      </c>
      <c r="D6" s="50" t="s">
        <v>61</v>
      </c>
      <c r="E6" s="54" t="s">
        <v>63</v>
      </c>
      <c r="F6" s="54" t="s">
        <v>67</v>
      </c>
      <c r="G6" s="34"/>
      <c r="H6" s="50">
        <v>1.0</v>
      </c>
      <c r="I6" s="50" t="s">
        <v>61</v>
      </c>
      <c r="J6" s="60" t="s">
        <v>75</v>
      </c>
      <c r="K6" s="65" t="s">
        <v>76</v>
      </c>
      <c r="M6" s="50">
        <v>1.0</v>
      </c>
      <c r="N6" s="50" t="s">
        <v>61</v>
      </c>
      <c r="O6" s="60" t="s">
        <v>79</v>
      </c>
      <c r="P6" s="70" t="s">
        <v>80</v>
      </c>
    </row>
    <row r="7" ht="49.5" customHeight="1">
      <c r="A7" s="34"/>
      <c r="B7" s="34"/>
      <c r="C7" s="50">
        <v>2.0</v>
      </c>
      <c r="D7" s="50" t="s">
        <v>82</v>
      </c>
      <c r="E7" s="54" t="s">
        <v>83</v>
      </c>
      <c r="F7" s="54" t="s">
        <v>84</v>
      </c>
      <c r="G7" s="34"/>
      <c r="H7" s="50">
        <v>2.0</v>
      </c>
      <c r="I7" s="50" t="s">
        <v>82</v>
      </c>
      <c r="J7" s="60" t="s">
        <v>85</v>
      </c>
      <c r="K7" s="65" t="s">
        <v>88</v>
      </c>
      <c r="M7" s="50">
        <v>2.0</v>
      </c>
      <c r="N7" s="50" t="s">
        <v>90</v>
      </c>
      <c r="O7" s="75" t="s">
        <v>91</v>
      </c>
      <c r="P7" s="76"/>
    </row>
    <row r="8" ht="49.5" customHeight="1">
      <c r="A8" s="34"/>
      <c r="B8" s="34"/>
      <c r="C8" s="50">
        <v>3.0</v>
      </c>
      <c r="D8" s="50" t="s">
        <v>92</v>
      </c>
      <c r="E8" s="54" t="s">
        <v>93</v>
      </c>
      <c r="F8" s="54" t="s">
        <v>94</v>
      </c>
      <c r="G8" s="34"/>
      <c r="H8" s="50">
        <v>3.0</v>
      </c>
      <c r="I8" s="50" t="s">
        <v>92</v>
      </c>
      <c r="J8" s="75" t="s">
        <v>85</v>
      </c>
      <c r="K8" s="78" t="s">
        <v>96</v>
      </c>
      <c r="M8" s="50">
        <v>3.0</v>
      </c>
      <c r="N8" s="80" t="s">
        <v>98</v>
      </c>
      <c r="O8" s="81" t="s">
        <v>99</v>
      </c>
      <c r="P8" s="76"/>
    </row>
    <row r="9" ht="49.5" customHeight="1">
      <c r="A9" s="34"/>
      <c r="B9" s="34"/>
      <c r="C9" s="50">
        <v>4.0</v>
      </c>
      <c r="D9" s="50" t="s">
        <v>101</v>
      </c>
      <c r="E9" s="54" t="s">
        <v>102</v>
      </c>
      <c r="F9" s="54" t="s">
        <v>103</v>
      </c>
      <c r="G9" s="34"/>
      <c r="H9" s="50">
        <v>4.0</v>
      </c>
      <c r="I9" s="50" t="s">
        <v>101</v>
      </c>
      <c r="J9" s="75" t="s">
        <v>104</v>
      </c>
      <c r="K9" s="89" t="s">
        <v>105</v>
      </c>
      <c r="M9" s="50">
        <v>4.0</v>
      </c>
      <c r="N9" s="80" t="s">
        <v>106</v>
      </c>
      <c r="O9" s="81" t="s">
        <v>107</v>
      </c>
      <c r="P9" s="76"/>
    </row>
    <row r="10" ht="49.5" customHeight="1">
      <c r="A10" s="34"/>
      <c r="B10" s="34"/>
      <c r="C10" s="50">
        <v>5.0</v>
      </c>
      <c r="D10" s="50" t="s">
        <v>111</v>
      </c>
      <c r="E10" s="54" t="s">
        <v>112</v>
      </c>
      <c r="F10" s="54" t="s">
        <v>113</v>
      </c>
      <c r="G10" s="34"/>
      <c r="H10" s="50">
        <v>5.0</v>
      </c>
      <c r="I10" s="50" t="s">
        <v>111</v>
      </c>
      <c r="J10" s="75" t="s">
        <v>104</v>
      </c>
      <c r="K10" s="89" t="s">
        <v>114</v>
      </c>
      <c r="M10" s="50">
        <v>5.0</v>
      </c>
      <c r="N10" s="80" t="s">
        <v>115</v>
      </c>
      <c r="O10" s="81" t="s">
        <v>116</v>
      </c>
      <c r="P10" s="76"/>
    </row>
    <row r="11" ht="49.5" customHeight="1">
      <c r="A11" s="34"/>
      <c r="B11" s="34"/>
      <c r="C11" s="50">
        <v>6.0</v>
      </c>
      <c r="D11" s="50" t="s">
        <v>118</v>
      </c>
      <c r="E11" s="54" t="s">
        <v>120</v>
      </c>
      <c r="F11" s="54" t="s">
        <v>122</v>
      </c>
      <c r="G11" s="34"/>
      <c r="H11" s="50">
        <v>6.0</v>
      </c>
      <c r="I11" s="50" t="s">
        <v>118</v>
      </c>
      <c r="J11" s="75" t="s">
        <v>126</v>
      </c>
      <c r="K11" s="89" t="s">
        <v>129</v>
      </c>
      <c r="M11" s="50">
        <v>6.0</v>
      </c>
      <c r="N11" s="80" t="s">
        <v>130</v>
      </c>
      <c r="O11" s="81" t="s">
        <v>131</v>
      </c>
      <c r="P11" s="97"/>
    </row>
    <row r="12" ht="49.5" customHeight="1">
      <c r="A12" s="34"/>
      <c r="B12" s="34"/>
      <c r="C12" s="50">
        <v>7.0</v>
      </c>
      <c r="D12" s="50" t="s">
        <v>133</v>
      </c>
      <c r="E12" s="54" t="s">
        <v>135</v>
      </c>
      <c r="F12" s="54" t="s">
        <v>137</v>
      </c>
      <c r="G12" s="34"/>
      <c r="H12" s="50">
        <v>7.0</v>
      </c>
      <c r="I12" s="50" t="s">
        <v>133</v>
      </c>
      <c r="J12" s="75" t="s">
        <v>138</v>
      </c>
      <c r="K12" s="89" t="s">
        <v>140</v>
      </c>
    </row>
    <row r="13" ht="49.5" customHeight="1">
      <c r="A13" s="34"/>
      <c r="B13" s="34"/>
      <c r="C13" s="50">
        <v>8.0</v>
      </c>
      <c r="D13" s="50" t="s">
        <v>141</v>
      </c>
      <c r="E13" s="54" t="s">
        <v>142</v>
      </c>
      <c r="F13" s="54" t="s">
        <v>144</v>
      </c>
      <c r="G13" s="34"/>
      <c r="H13" s="50">
        <v>8.0</v>
      </c>
      <c r="I13" s="50" t="s">
        <v>141</v>
      </c>
      <c r="J13" s="75" t="s">
        <v>145</v>
      </c>
      <c r="K13" s="89" t="s">
        <v>146</v>
      </c>
      <c r="N13" s="100"/>
    </row>
    <row r="14" ht="49.5" customHeight="1">
      <c r="A14" s="34"/>
      <c r="B14" s="34"/>
      <c r="C14" s="50">
        <v>9.0</v>
      </c>
      <c r="D14" s="50" t="s">
        <v>98</v>
      </c>
      <c r="E14" s="54" t="s">
        <v>147</v>
      </c>
      <c r="F14" s="54" t="s">
        <v>151</v>
      </c>
      <c r="G14" s="34"/>
      <c r="H14" s="50">
        <v>9.0</v>
      </c>
      <c r="I14" s="50" t="s">
        <v>98</v>
      </c>
      <c r="J14" s="75" t="s">
        <v>154</v>
      </c>
      <c r="K14" s="89" t="s">
        <v>155</v>
      </c>
    </row>
    <row r="15" ht="49.5" customHeight="1">
      <c r="A15" s="34"/>
      <c r="B15" s="34"/>
      <c r="C15" s="50">
        <v>10.0</v>
      </c>
      <c r="D15" s="50" t="s">
        <v>106</v>
      </c>
      <c r="E15" s="54" t="s">
        <v>158</v>
      </c>
      <c r="F15" s="54" t="s">
        <v>159</v>
      </c>
      <c r="G15" s="34"/>
      <c r="H15" s="50">
        <v>10.0</v>
      </c>
      <c r="I15" s="50" t="s">
        <v>106</v>
      </c>
      <c r="J15" s="75" t="s">
        <v>161</v>
      </c>
      <c r="K15" s="89" t="s">
        <v>162</v>
      </c>
    </row>
    <row r="16" ht="49.5" customHeight="1">
      <c r="A16" s="34"/>
      <c r="B16" s="34"/>
      <c r="C16" s="50">
        <v>11.0</v>
      </c>
      <c r="D16" s="50" t="s">
        <v>115</v>
      </c>
      <c r="E16" s="54" t="s">
        <v>163</v>
      </c>
      <c r="F16" s="54" t="s">
        <v>165</v>
      </c>
      <c r="G16" s="34"/>
      <c r="H16" s="50">
        <v>11.0</v>
      </c>
      <c r="I16" s="50" t="s">
        <v>115</v>
      </c>
      <c r="J16" s="75" t="s">
        <v>166</v>
      </c>
      <c r="K16" s="89" t="s">
        <v>168</v>
      </c>
      <c r="M16" s="103"/>
      <c r="N16" s="103"/>
      <c r="O16" s="104"/>
    </row>
    <row r="17" ht="49.5" customHeight="1">
      <c r="A17" s="34"/>
      <c r="B17" s="34"/>
      <c r="C17" s="50">
        <v>12.0</v>
      </c>
      <c r="D17" s="50" t="s">
        <v>130</v>
      </c>
      <c r="E17" s="54" t="s">
        <v>171</v>
      </c>
      <c r="F17" s="54" t="s">
        <v>172</v>
      </c>
      <c r="G17" s="34"/>
      <c r="H17" s="50">
        <v>12.0</v>
      </c>
      <c r="I17" s="50" t="s">
        <v>130</v>
      </c>
      <c r="J17" s="75" t="s">
        <v>173</v>
      </c>
      <c r="K17" s="89" t="s">
        <v>174</v>
      </c>
      <c r="M17" s="103"/>
      <c r="N17" s="103"/>
      <c r="O17" s="104"/>
    </row>
    <row r="18" ht="15.75" customHeight="1">
      <c r="A18" s="103"/>
      <c r="B18" s="103"/>
      <c r="C18" s="103"/>
      <c r="D18" s="103"/>
      <c r="E18" s="103"/>
      <c r="F18" s="103"/>
      <c r="G18" s="103"/>
      <c r="H18" s="103"/>
      <c r="I18" s="103" t="s">
        <v>175</v>
      </c>
      <c r="J18" s="104"/>
      <c r="M18" s="103"/>
      <c r="N18" s="103" t="s">
        <v>175</v>
      </c>
      <c r="O18" s="104"/>
    </row>
    <row r="19">
      <c r="A19" s="105"/>
      <c r="B19" s="105"/>
      <c r="C19" s="105"/>
      <c r="D19" s="105"/>
      <c r="E19" s="105"/>
      <c r="F19" s="105"/>
      <c r="G19" s="105"/>
      <c r="H19" s="105"/>
      <c r="I19" s="22"/>
      <c r="J19" s="22"/>
      <c r="M19" s="105"/>
      <c r="N19" s="105"/>
      <c r="O19" s="106"/>
    </row>
    <row r="20">
      <c r="A20" s="21"/>
      <c r="B20" s="21"/>
      <c r="C20" s="21"/>
      <c r="D20" s="21"/>
      <c r="E20" s="21"/>
      <c r="F20" s="21"/>
      <c r="G20" s="21"/>
      <c r="H20" s="21"/>
      <c r="I20" s="22"/>
      <c r="J20" s="22"/>
      <c r="M20" s="21"/>
      <c r="N20" s="21"/>
      <c r="O20" s="22"/>
    </row>
    <row r="21">
      <c r="A21" s="21"/>
      <c r="B21" s="21"/>
      <c r="C21" s="21"/>
      <c r="D21" s="21"/>
      <c r="E21" s="21"/>
      <c r="F21" s="21"/>
      <c r="G21" s="21"/>
      <c r="H21" s="21"/>
      <c r="I21" s="22"/>
      <c r="J21" s="22"/>
      <c r="M21" s="21"/>
      <c r="N21" s="21"/>
      <c r="O21" s="22"/>
    </row>
    <row r="22">
      <c r="A22" s="21"/>
      <c r="B22" s="21"/>
      <c r="C22" s="21"/>
      <c r="D22" s="21"/>
      <c r="E22" s="21"/>
      <c r="F22" s="21"/>
      <c r="G22" s="21"/>
      <c r="H22" s="21"/>
      <c r="I22" s="22"/>
      <c r="J22" s="22"/>
      <c r="M22" s="21"/>
      <c r="N22" s="21"/>
      <c r="O22" s="22"/>
    </row>
    <row r="23">
      <c r="A23" s="21"/>
      <c r="B23" s="21"/>
      <c r="C23" s="21"/>
      <c r="D23" s="21"/>
      <c r="E23" s="21"/>
      <c r="F23" s="21"/>
      <c r="G23" s="21"/>
      <c r="H23" s="21"/>
      <c r="I23" s="22"/>
      <c r="J23" s="22"/>
      <c r="M23" s="21"/>
      <c r="N23" s="21"/>
      <c r="O23" s="22"/>
    </row>
    <row r="24">
      <c r="A24" s="21"/>
      <c r="B24" s="21"/>
      <c r="C24" s="21"/>
      <c r="D24" s="21"/>
      <c r="E24" s="21"/>
      <c r="F24" s="21"/>
      <c r="G24" s="21"/>
      <c r="H24" s="21"/>
      <c r="I24" s="22"/>
      <c r="J24" s="22"/>
      <c r="M24" s="21"/>
      <c r="N24" s="21"/>
      <c r="O24" s="22"/>
    </row>
    <row r="25">
      <c r="A25" s="21"/>
      <c r="B25" s="21"/>
      <c r="C25" s="21"/>
      <c r="D25" s="21"/>
      <c r="E25" s="21"/>
      <c r="F25" s="21"/>
      <c r="G25" s="21"/>
      <c r="H25" s="21"/>
      <c r="I25" s="22"/>
      <c r="J25" s="22"/>
      <c r="M25" s="21"/>
      <c r="N25" s="21"/>
      <c r="O25" s="22"/>
    </row>
    <row r="26">
      <c r="A26" s="21"/>
      <c r="B26" s="21"/>
      <c r="C26" s="21"/>
      <c r="D26" s="21"/>
      <c r="E26" s="21"/>
      <c r="F26" s="21"/>
      <c r="G26" s="21"/>
      <c r="H26" s="21"/>
      <c r="I26" s="22"/>
      <c r="J26" s="22"/>
      <c r="M26" s="21"/>
      <c r="N26" s="21"/>
      <c r="O26" s="22"/>
    </row>
    <row r="27">
      <c r="A27" s="21"/>
      <c r="B27" s="21"/>
      <c r="C27" s="21"/>
      <c r="D27" s="21"/>
      <c r="E27" s="21"/>
      <c r="F27" s="21"/>
      <c r="G27" s="21"/>
      <c r="H27" s="21"/>
      <c r="I27" s="22"/>
      <c r="J27" s="22"/>
      <c r="M27" s="21"/>
      <c r="N27" s="21"/>
      <c r="O27" s="22"/>
    </row>
    <row r="28">
      <c r="A28" s="21"/>
      <c r="B28" s="21"/>
      <c r="C28" s="21"/>
      <c r="D28" s="21"/>
      <c r="E28" s="21"/>
      <c r="F28" s="21"/>
      <c r="G28" s="21"/>
      <c r="H28" s="21"/>
      <c r="I28" s="22"/>
      <c r="J28" s="22"/>
      <c r="M28" s="21"/>
      <c r="N28" s="21"/>
      <c r="O28" s="22"/>
    </row>
    <row r="29">
      <c r="A29" s="21"/>
      <c r="B29" s="21"/>
      <c r="C29" s="21"/>
      <c r="D29" s="21"/>
      <c r="E29" s="21"/>
      <c r="F29" s="21"/>
      <c r="G29" s="21"/>
      <c r="H29" s="21"/>
      <c r="I29" s="22"/>
      <c r="J29" s="22"/>
      <c r="M29" s="21"/>
      <c r="N29" s="21"/>
      <c r="O29" s="22"/>
    </row>
    <row r="30">
      <c r="A30" s="21"/>
      <c r="B30" s="21"/>
      <c r="C30" s="21"/>
      <c r="D30" s="21"/>
      <c r="E30" s="21"/>
      <c r="F30" s="21"/>
      <c r="G30" s="21"/>
      <c r="H30" s="21"/>
      <c r="I30" s="22"/>
      <c r="J30" s="22"/>
      <c r="M30" s="21"/>
      <c r="N30" s="21"/>
      <c r="O30" s="22"/>
    </row>
  </sheetData>
  <dataValidations>
    <dataValidation allowBlank="1" showDropDown="1" sqref="F6:F17 K6:K17"/>
  </dataValidations>
  <hyperlinks>
    <hyperlink r:id="rId1" ref="E6"/>
    <hyperlink r:id="rId2" ref="F6"/>
    <hyperlink r:id="rId3" ref="J6"/>
    <hyperlink r:id="rId4" ref="K6"/>
    <hyperlink r:id="rId5" ref="O6"/>
    <hyperlink r:id="rId6" ref="P6"/>
    <hyperlink r:id="rId7" ref="E7"/>
    <hyperlink r:id="rId8" ref="F7"/>
    <hyperlink r:id="rId9" ref="J7"/>
    <hyperlink r:id="rId10" ref="K7"/>
    <hyperlink r:id="rId11" ref="O7"/>
    <hyperlink r:id="rId12" ref="E8"/>
    <hyperlink r:id="rId13" ref="F8"/>
    <hyperlink r:id="rId14" ref="J8"/>
    <hyperlink r:id="rId15" ref="K8"/>
    <hyperlink r:id="rId16" ref="O8"/>
    <hyperlink r:id="rId17" ref="E9"/>
    <hyperlink r:id="rId18" ref="F9"/>
    <hyperlink r:id="rId19" ref="J9"/>
    <hyperlink r:id="rId20" ref="K9"/>
    <hyperlink r:id="rId21" ref="O9"/>
    <hyperlink r:id="rId22" ref="E10"/>
    <hyperlink r:id="rId23" ref="F10"/>
    <hyperlink r:id="rId24" ref="J10"/>
    <hyperlink r:id="rId25" ref="K10"/>
    <hyperlink r:id="rId26" ref="O10"/>
    <hyperlink r:id="rId27" ref="E11"/>
    <hyperlink r:id="rId28" ref="F11"/>
    <hyperlink r:id="rId29" ref="J11"/>
    <hyperlink r:id="rId30" ref="K11"/>
    <hyperlink r:id="rId31" ref="O11"/>
    <hyperlink r:id="rId32" ref="E12"/>
    <hyperlink r:id="rId33" ref="F12"/>
    <hyperlink r:id="rId34" ref="J12"/>
    <hyperlink r:id="rId35" ref="K12"/>
    <hyperlink r:id="rId36" ref="E13"/>
    <hyperlink r:id="rId37" ref="F13"/>
    <hyperlink r:id="rId38" ref="J13"/>
    <hyperlink r:id="rId39" ref="K13"/>
    <hyperlink r:id="rId40" ref="E14"/>
    <hyperlink r:id="rId41" ref="F14"/>
    <hyperlink r:id="rId42" ref="J14"/>
    <hyperlink r:id="rId43" ref="K14"/>
    <hyperlink r:id="rId44" ref="E15"/>
    <hyperlink r:id="rId45" ref="F15"/>
    <hyperlink r:id="rId46" ref="J15"/>
    <hyperlink r:id="rId47" ref="K15"/>
    <hyperlink r:id="rId48" ref="E16"/>
    <hyperlink r:id="rId49" ref="F16"/>
    <hyperlink r:id="rId50" ref="J16"/>
    <hyperlink r:id="rId51" ref="K16"/>
    <hyperlink r:id="rId52" ref="E17"/>
    <hyperlink r:id="rId53" ref="F17"/>
    <hyperlink r:id="rId54" ref="J17"/>
    <hyperlink r:id="rId55" ref="K17"/>
  </hyperlinks>
  <printOptions horizontalCentered="1"/>
  <pageMargins bottom="0.75" footer="0.0" header="0.0" left="0.25" right="0.25" top="0.75"/>
  <pageSetup fitToHeight="0" paperSize="8" orientation="landscape"/>
  <drawing r:id="rId56"/>
  <tableParts count="3">
    <tablePart r:id="rId60"/>
    <tablePart r:id="rId61"/>
    <tablePart r:id="rId6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0.29"/>
  </cols>
  <sheetData>
    <row r="1">
      <c r="A1" s="1"/>
    </row>
    <row r="2">
      <c r="A2" s="2" t="s">
        <v>0</v>
      </c>
    </row>
    <row r="3">
      <c r="A3" s="1"/>
      <c r="B3" s="3"/>
    </row>
    <row r="4">
      <c r="A4" s="4" t="s">
        <v>1</v>
      </c>
      <c r="B4" s="5" t="s">
        <v>2</v>
      </c>
    </row>
    <row r="5">
      <c r="A5" s="4" t="s">
        <v>1</v>
      </c>
      <c r="B5" s="5" t="s">
        <v>3</v>
      </c>
    </row>
    <row r="6">
      <c r="A6" s="4" t="s">
        <v>1</v>
      </c>
      <c r="B6" s="5" t="s">
        <v>4</v>
      </c>
    </row>
    <row r="7">
      <c r="A7" s="4" t="s">
        <v>1</v>
      </c>
      <c r="B7" s="5" t="s">
        <v>5</v>
      </c>
    </row>
    <row r="8">
      <c r="A8" s="4" t="s">
        <v>1</v>
      </c>
      <c r="B8" s="5" t="s">
        <v>6</v>
      </c>
    </row>
    <row r="9">
      <c r="A9" s="6" t="s">
        <v>7</v>
      </c>
      <c r="B9" s="7" t="s">
        <v>8</v>
      </c>
    </row>
    <row r="10">
      <c r="A10" s="6" t="s">
        <v>7</v>
      </c>
      <c r="B10" s="7" t="s">
        <v>9</v>
      </c>
    </row>
    <row r="11">
      <c r="A11" s="6" t="s">
        <v>7</v>
      </c>
      <c r="B11" s="7" t="s">
        <v>10</v>
      </c>
    </row>
    <row r="12">
      <c r="A12" s="6" t="s">
        <v>7</v>
      </c>
      <c r="B12" s="7" t="s">
        <v>11</v>
      </c>
    </row>
    <row r="13">
      <c r="A13" s="6" t="s">
        <v>7</v>
      </c>
      <c r="B13" s="7" t="s">
        <v>12</v>
      </c>
    </row>
    <row r="14">
      <c r="A14" s="6" t="s">
        <v>7</v>
      </c>
      <c r="B14" s="7" t="s">
        <v>13</v>
      </c>
    </row>
    <row r="15">
      <c r="A15" s="6" t="s">
        <v>14</v>
      </c>
      <c r="B15" s="7" t="s">
        <v>15</v>
      </c>
    </row>
    <row r="16">
      <c r="A16" s="6" t="s">
        <v>16</v>
      </c>
      <c r="B16" s="8" t="s">
        <v>17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 t="s">
        <v>16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 t="s">
        <v>16</v>
      </c>
      <c r="B18" s="8" t="s">
        <v>19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 t="s">
        <v>16</v>
      </c>
      <c r="B19" s="10" t="s">
        <v>20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 t="s">
        <v>16</v>
      </c>
      <c r="B20" s="10" t="s">
        <v>21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" t="s">
        <v>16</v>
      </c>
      <c r="B21" s="8" t="s">
        <v>22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" t="s">
        <v>16</v>
      </c>
      <c r="B22" s="8" t="s">
        <v>23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" t="s">
        <v>16</v>
      </c>
      <c r="B23" s="8" t="s">
        <v>24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6" t="s">
        <v>16</v>
      </c>
      <c r="B24" s="8" t="s">
        <v>25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6" t="s">
        <v>16</v>
      </c>
      <c r="B25" s="11" t="s">
        <v>15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32">
      <c r="B32" s="3" t="s">
        <v>26</v>
      </c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2026-06-15T08:35:20Z</dcterms:created>
  <dc:creator>PC</dc:creator>
</cp:coreProperties>
</file>